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xr:revisionPtr revIDLastSave="530" documentId="11_6A32D4F240207C91FB7A9A1550F542CAE46E6FA7" xr6:coauthVersionLast="47" xr6:coauthVersionMax="47" xr10:uidLastSave="{E7603C06-7F7F-40EC-85F3-38E6E4EA57F1}"/>
  <bookViews>
    <workbookView xWindow="0" yWindow="0" windowWidth="16384" windowHeight="8192" tabRatio="500" activeTab="4" xr2:uid="{00000000-000D-0000-FFFF-FFFF00000000}"/>
  </bookViews>
  <sheets>
    <sheet name="Summary" sheetId="1" r:id="rId1"/>
    <sheet name="Assumptions" sheetId="2" r:id="rId2"/>
    <sheet name="CAPEX_Consolidated" sheetId="3" r:id="rId3"/>
    <sheet name="CAPEX_Equipment" sheetId="4" r:id="rId4"/>
    <sheet name="CAPEX_Infra_Vehicles_IT" sheetId="5" r:id="rId5"/>
    <sheet name="OPEX_HR" sheetId="6" r:id="rId6"/>
    <sheet name="OPEX_Operations" sheetId="7" r:id="rId7"/>
    <sheet name="Energy_Water_Fuel" sheetId="8" r:id="rId8"/>
    <sheet name="Working_Capital" sheetId="9" r:id="rId9"/>
    <sheet name="Revenue" sheetId="10" r:id="rId10"/>
    <sheet name="Subsidies" sheetId="11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6" l="1"/>
  <c r="I29" i="6"/>
  <c r="I28" i="6"/>
  <c r="F31" i="6"/>
  <c r="F30" i="6"/>
  <c r="F29" i="6"/>
  <c r="F28" i="6"/>
  <c r="E29" i="6"/>
  <c r="G29" i="6"/>
  <c r="H29" i="6"/>
  <c r="E28" i="6"/>
  <c r="E30" i="6"/>
  <c r="E31" i="6"/>
  <c r="C32" i="6"/>
  <c r="B13" i="3"/>
  <c r="E31" i="7"/>
  <c r="F31" i="7"/>
  <c r="G31" i="7"/>
  <c r="H31" i="7"/>
  <c r="H24" i="7"/>
  <c r="G24" i="7"/>
  <c r="D24" i="7"/>
  <c r="E24" i="7"/>
  <c r="F24" i="7"/>
  <c r="G34" i="9"/>
  <c r="I55" i="8"/>
  <c r="I54" i="8"/>
  <c r="I53" i="8"/>
  <c r="H48" i="8"/>
  <c r="H47" i="8"/>
  <c r="H46" i="8"/>
  <c r="H44" i="8"/>
  <c r="H45" i="8"/>
  <c r="H43" i="8"/>
  <c r="G43" i="8"/>
  <c r="I25" i="8"/>
  <c r="G48" i="8"/>
  <c r="I48" i="8" s="1"/>
  <c r="G47" i="8"/>
  <c r="I47" i="8" s="1"/>
  <c r="G46" i="8"/>
  <c r="I46" i="8" s="1"/>
  <c r="G45" i="8"/>
  <c r="I45" i="8" s="1"/>
  <c r="G44" i="8"/>
  <c r="I44" i="8" s="1"/>
  <c r="H36" i="8"/>
  <c r="E35" i="8"/>
  <c r="F34" i="8"/>
  <c r="G34" i="8" s="1"/>
  <c r="F33" i="8"/>
  <c r="G33" i="8" s="1"/>
  <c r="F32" i="8"/>
  <c r="G32" i="8" s="1"/>
  <c r="F31" i="8"/>
  <c r="G31" i="8" s="1"/>
  <c r="F30" i="8"/>
  <c r="G30" i="8" s="1"/>
  <c r="F29" i="8"/>
  <c r="I40" i="8"/>
  <c r="I41" i="8"/>
  <c r="E3" i="10"/>
  <c r="C23" i="11"/>
  <c r="E14" i="10"/>
  <c r="I13" i="10"/>
  <c r="I12" i="10"/>
  <c r="H12" i="10"/>
  <c r="I11" i="10"/>
  <c r="H11" i="10"/>
  <c r="I10" i="10"/>
  <c r="H10" i="10"/>
  <c r="G10" i="10"/>
  <c r="F10" i="10"/>
  <c r="F14" i="10" s="1"/>
  <c r="I5" i="10"/>
  <c r="H5" i="10"/>
  <c r="G5" i="10"/>
  <c r="F5" i="10"/>
  <c r="E5" i="10"/>
  <c r="I4" i="10"/>
  <c r="H4" i="10"/>
  <c r="G4" i="10"/>
  <c r="F4" i="10"/>
  <c r="E4" i="10"/>
  <c r="I3" i="10"/>
  <c r="I6" i="10" s="1"/>
  <c r="H3" i="10"/>
  <c r="H6" i="10" s="1"/>
  <c r="G3" i="10"/>
  <c r="G6" i="10" s="1"/>
  <c r="F3" i="10"/>
  <c r="F6" i="10" s="1"/>
  <c r="E6" i="10"/>
  <c r="B3" i="9"/>
  <c r="H23" i="8"/>
  <c r="E21" i="8"/>
  <c r="F21" i="8" s="1"/>
  <c r="G21" i="8" s="1"/>
  <c r="E20" i="8"/>
  <c r="F20" i="8" s="1"/>
  <c r="G20" i="8" s="1"/>
  <c r="E19" i="8"/>
  <c r="F19" i="8" s="1"/>
  <c r="G19" i="8" s="1"/>
  <c r="E18" i="8"/>
  <c r="F18" i="8" s="1"/>
  <c r="G18" i="8" s="1"/>
  <c r="E17" i="8"/>
  <c r="F17" i="8" s="1"/>
  <c r="G17" i="8" s="1"/>
  <c r="E16" i="8"/>
  <c r="F16" i="8" s="1"/>
  <c r="G16" i="8" s="1"/>
  <c r="E15" i="8"/>
  <c r="F15" i="8" s="1"/>
  <c r="G15" i="8" s="1"/>
  <c r="E14" i="8"/>
  <c r="F14" i="8" s="1"/>
  <c r="G14" i="8" s="1"/>
  <c r="E13" i="8"/>
  <c r="F13" i="8" s="1"/>
  <c r="G13" i="8" s="1"/>
  <c r="E12" i="8"/>
  <c r="F12" i="8" s="1"/>
  <c r="G12" i="8" s="1"/>
  <c r="E11" i="8"/>
  <c r="F11" i="8" s="1"/>
  <c r="G11" i="8" s="1"/>
  <c r="E10" i="8"/>
  <c r="F10" i="8" s="1"/>
  <c r="G10" i="8" s="1"/>
  <c r="E9" i="8"/>
  <c r="F9" i="8" s="1"/>
  <c r="G9" i="8" s="1"/>
  <c r="E8" i="8"/>
  <c r="F8" i="8" s="1"/>
  <c r="G8" i="8" s="1"/>
  <c r="E7" i="8"/>
  <c r="F7" i="8" s="1"/>
  <c r="G7" i="8" s="1"/>
  <c r="E6" i="8"/>
  <c r="F6" i="8" s="1"/>
  <c r="G6" i="8" s="1"/>
  <c r="E5" i="8"/>
  <c r="F5" i="8" s="1"/>
  <c r="G5" i="8" s="1"/>
  <c r="E4" i="8"/>
  <c r="F4" i="8" s="1"/>
  <c r="G4" i="8" s="1"/>
  <c r="E3" i="8"/>
  <c r="H51" i="7"/>
  <c r="G51" i="7"/>
  <c r="F51" i="7"/>
  <c r="E51" i="7"/>
  <c r="D51" i="7"/>
  <c r="H42" i="7"/>
  <c r="G42" i="7"/>
  <c r="F42" i="7"/>
  <c r="E42" i="7"/>
  <c r="D42" i="7"/>
  <c r="H35" i="7"/>
  <c r="G35" i="7"/>
  <c r="F35" i="7"/>
  <c r="E35" i="7"/>
  <c r="D35" i="7"/>
  <c r="D31" i="7"/>
  <c r="C45" i="6"/>
  <c r="E44" i="6"/>
  <c r="C42" i="6"/>
  <c r="E41" i="6"/>
  <c r="E40" i="6"/>
  <c r="E39" i="6"/>
  <c r="E38" i="6"/>
  <c r="E37" i="6"/>
  <c r="E36" i="6"/>
  <c r="E35" i="6"/>
  <c r="E34" i="6"/>
  <c r="C26" i="6"/>
  <c r="E25" i="6"/>
  <c r="E24" i="6"/>
  <c r="C22" i="6"/>
  <c r="E21" i="6"/>
  <c r="E20" i="6"/>
  <c r="C18" i="6"/>
  <c r="E17" i="6"/>
  <c r="E16" i="6"/>
  <c r="E15" i="6"/>
  <c r="E14" i="6"/>
  <c r="E13" i="6"/>
  <c r="E12" i="6"/>
  <c r="C10" i="6"/>
  <c r="C47" i="6" s="1"/>
  <c r="E9" i="6"/>
  <c r="E8" i="6"/>
  <c r="E7" i="6"/>
  <c r="H7" i="6" s="1"/>
  <c r="E6" i="6"/>
  <c r="H6" i="6" s="1"/>
  <c r="E5" i="6"/>
  <c r="E4" i="6"/>
  <c r="E3" i="6"/>
  <c r="F75" i="5"/>
  <c r="F74" i="5"/>
  <c r="F73" i="5"/>
  <c r="F76" i="5" s="1"/>
  <c r="F70" i="5"/>
  <c r="F69" i="5"/>
  <c r="F68" i="5"/>
  <c r="F67" i="5"/>
  <c r="F66" i="5"/>
  <c r="F65" i="5"/>
  <c r="F64" i="5"/>
  <c r="F63" i="5"/>
  <c r="F62" i="5"/>
  <c r="F71" i="5" s="1"/>
  <c r="F59" i="5"/>
  <c r="F58" i="5"/>
  <c r="F57" i="5"/>
  <c r="F56" i="5"/>
  <c r="F60" i="5" s="1"/>
  <c r="F53" i="5"/>
  <c r="F52" i="5"/>
  <c r="F51" i="5"/>
  <c r="F50" i="5"/>
  <c r="F49" i="5"/>
  <c r="F48" i="5"/>
  <c r="F47" i="5"/>
  <c r="F46" i="5"/>
  <c r="F45" i="5"/>
  <c r="F54" i="5" s="1"/>
  <c r="F42" i="5"/>
  <c r="F41" i="5"/>
  <c r="F40" i="5"/>
  <c r="F43" i="5" s="1"/>
  <c r="F37" i="5"/>
  <c r="F36" i="5"/>
  <c r="F35" i="5"/>
  <c r="F38" i="5" s="1"/>
  <c r="F32" i="5"/>
  <c r="F31" i="5"/>
  <c r="F30" i="5"/>
  <c r="F29" i="5"/>
  <c r="F28" i="5"/>
  <c r="F33" i="5" s="1"/>
  <c r="F25" i="5"/>
  <c r="F24" i="5"/>
  <c r="F23" i="5"/>
  <c r="F22" i="5"/>
  <c r="F21" i="5"/>
  <c r="F20" i="5"/>
  <c r="F19" i="5"/>
  <c r="F26" i="5" s="1"/>
  <c r="F16" i="5"/>
  <c r="F15" i="5"/>
  <c r="F14" i="5"/>
  <c r="F13" i="5"/>
  <c r="F12" i="5"/>
  <c r="F11" i="5"/>
  <c r="F10" i="5"/>
  <c r="F9" i="5"/>
  <c r="F8" i="5"/>
  <c r="F17" i="5" s="1"/>
  <c r="F5" i="5"/>
  <c r="F4" i="5"/>
  <c r="F3" i="5"/>
  <c r="F6" i="5" s="1"/>
  <c r="F78" i="5" s="1"/>
  <c r="G38" i="4"/>
  <c r="I38" i="4" s="1"/>
  <c r="G37" i="4"/>
  <c r="I37" i="4" s="1"/>
  <c r="G36" i="4"/>
  <c r="I36" i="4" s="1"/>
  <c r="H35" i="4"/>
  <c r="G35" i="4"/>
  <c r="I35" i="4" s="1"/>
  <c r="H34" i="4"/>
  <c r="G34" i="4"/>
  <c r="I34" i="4" s="1"/>
  <c r="H33" i="4"/>
  <c r="G33" i="4"/>
  <c r="I33" i="4" s="1"/>
  <c r="G32" i="4"/>
  <c r="I32" i="4" s="1"/>
  <c r="H31" i="4"/>
  <c r="G31" i="4"/>
  <c r="I31" i="4" s="1"/>
  <c r="H30" i="4"/>
  <c r="G30" i="4"/>
  <c r="G27" i="4"/>
  <c r="I27" i="4" s="1"/>
  <c r="H26" i="4"/>
  <c r="G26" i="4"/>
  <c r="I26" i="4" s="1"/>
  <c r="G25" i="4"/>
  <c r="I25" i="4" s="1"/>
  <c r="G24" i="4"/>
  <c r="I24" i="4" s="1"/>
  <c r="H23" i="4"/>
  <c r="G23" i="4"/>
  <c r="I23" i="4" s="1"/>
  <c r="H22" i="4"/>
  <c r="G22" i="4"/>
  <c r="I22" i="4" s="1"/>
  <c r="H21" i="4"/>
  <c r="G21" i="4"/>
  <c r="H18" i="4"/>
  <c r="G18" i="4"/>
  <c r="I18" i="4" s="1"/>
  <c r="G17" i="4"/>
  <c r="I17" i="4" s="1"/>
  <c r="H16" i="4"/>
  <c r="G16" i="4"/>
  <c r="I16" i="4" s="1"/>
  <c r="H15" i="4"/>
  <c r="G15" i="4"/>
  <c r="I15" i="4" s="1"/>
  <c r="H14" i="4"/>
  <c r="G14" i="4"/>
  <c r="I14" i="4" s="1"/>
  <c r="H13" i="4"/>
  <c r="G13" i="4"/>
  <c r="I13" i="4" s="1"/>
  <c r="H12" i="4"/>
  <c r="G12" i="4"/>
  <c r="G9" i="4"/>
  <c r="I9" i="4" s="1"/>
  <c r="H8" i="4"/>
  <c r="G8" i="4"/>
  <c r="I8" i="4" s="1"/>
  <c r="H7" i="4"/>
  <c r="G7" i="4"/>
  <c r="I7" i="4" s="1"/>
  <c r="H6" i="4"/>
  <c r="G6" i="4"/>
  <c r="I6" i="4" s="1"/>
  <c r="H5" i="4"/>
  <c r="G5" i="4"/>
  <c r="I5" i="4" s="1"/>
  <c r="H4" i="4"/>
  <c r="G4" i="4"/>
  <c r="I4" i="4" s="1"/>
  <c r="H3" i="4"/>
  <c r="G3" i="4"/>
  <c r="B12" i="3"/>
  <c r="B14" i="3" s="1"/>
  <c r="B11" i="3"/>
  <c r="B10" i="3"/>
  <c r="B9" i="3"/>
  <c r="B8" i="3"/>
  <c r="B7" i="3"/>
  <c r="B6" i="3"/>
  <c r="B5" i="3"/>
  <c r="B4" i="3"/>
  <c r="B3" i="3"/>
  <c r="B46" i="2"/>
  <c r="I9" i="10" s="1"/>
  <c r="I14" i="10" s="1"/>
  <c r="B45" i="2"/>
  <c r="H9" i="10" s="1"/>
  <c r="H14" i="10" s="1"/>
  <c r="B44" i="2"/>
  <c r="G9" i="10" s="1"/>
  <c r="G14" i="10" s="1"/>
  <c r="B28" i="2"/>
  <c r="B27" i="2"/>
  <c r="B20" i="2"/>
  <c r="B16" i="2"/>
  <c r="B9" i="2"/>
  <c r="B5" i="2"/>
  <c r="B10" i="2" s="1"/>
  <c r="B58" i="1"/>
  <c r="B57" i="1"/>
  <c r="B56" i="1"/>
  <c r="B55" i="1"/>
  <c r="B54" i="1"/>
  <c r="B53" i="1"/>
  <c r="B42" i="1"/>
  <c r="B41" i="1"/>
  <c r="B40" i="1"/>
  <c r="B39" i="1"/>
  <c r="B38" i="1"/>
  <c r="B22" i="1"/>
  <c r="B21" i="1"/>
  <c r="B20" i="1"/>
  <c r="B19" i="1"/>
  <c r="B18" i="1"/>
  <c r="H30" i="6" l="1"/>
  <c r="G30" i="6"/>
  <c r="H28" i="6"/>
  <c r="G28" i="6"/>
  <c r="G31" i="6"/>
  <c r="H31" i="6"/>
  <c r="I31" i="6"/>
  <c r="G50" i="8"/>
  <c r="I43" i="8"/>
  <c r="F35" i="8"/>
  <c r="G29" i="8"/>
  <c r="G35" i="8" s="1"/>
  <c r="I37" i="8" s="1"/>
  <c r="H6" i="7"/>
  <c r="G6" i="7"/>
  <c r="F6" i="7"/>
  <c r="E6" i="7"/>
  <c r="D6" i="7"/>
  <c r="H13" i="7"/>
  <c r="H14" i="7" s="1"/>
  <c r="G13" i="7"/>
  <c r="G14" i="7" s="1"/>
  <c r="F13" i="7"/>
  <c r="F14" i="7" s="1"/>
  <c r="E13" i="7"/>
  <c r="E14" i="7" s="1"/>
  <c r="D13" i="7"/>
  <c r="D14" i="7" s="1"/>
  <c r="I28" i="8"/>
  <c r="H7" i="7"/>
  <c r="G7" i="7"/>
  <c r="F7" i="7"/>
  <c r="E7" i="7"/>
  <c r="D7" i="7"/>
  <c r="H16" i="7"/>
  <c r="G16" i="7"/>
  <c r="F16" i="7"/>
  <c r="E16" i="7"/>
  <c r="D16" i="7"/>
  <c r="H17" i="7"/>
  <c r="G17" i="7"/>
  <c r="F17" i="7"/>
  <c r="E17" i="7"/>
  <c r="D17" i="7"/>
  <c r="G10" i="4"/>
  <c r="I3" i="4"/>
  <c r="I10" i="4" s="1"/>
  <c r="G19" i="4"/>
  <c r="I12" i="4"/>
  <c r="I19" i="4" s="1"/>
  <c r="G28" i="4"/>
  <c r="I21" i="4"/>
  <c r="I28" i="4" s="1"/>
  <c r="G39" i="4"/>
  <c r="I30" i="4"/>
  <c r="I39" i="4" s="1"/>
  <c r="H3" i="6"/>
  <c r="G3" i="6"/>
  <c r="F3" i="6"/>
  <c r="I3" i="6" s="1"/>
  <c r="H4" i="6"/>
  <c r="G4" i="6"/>
  <c r="F4" i="6"/>
  <c r="I4" i="6" s="1"/>
  <c r="H5" i="6"/>
  <c r="G5" i="6"/>
  <c r="F5" i="6"/>
  <c r="I5" i="6" s="1"/>
  <c r="G6" i="6"/>
  <c r="F6" i="6"/>
  <c r="I6" i="6" s="1"/>
  <c r="G7" i="6"/>
  <c r="F7" i="6"/>
  <c r="I7" i="6" s="1"/>
  <c r="H8" i="6"/>
  <c r="G8" i="6"/>
  <c r="F8" i="6"/>
  <c r="I8" i="6" s="1"/>
  <c r="H9" i="6"/>
  <c r="G9" i="6"/>
  <c r="F9" i="6"/>
  <c r="I9" i="6" s="1"/>
  <c r="H12" i="6"/>
  <c r="G12" i="6"/>
  <c r="F12" i="6"/>
  <c r="I12" i="6" s="1"/>
  <c r="H13" i="6"/>
  <c r="G13" i="6"/>
  <c r="F13" i="6"/>
  <c r="I13" i="6" s="1"/>
  <c r="H14" i="6"/>
  <c r="G14" i="6"/>
  <c r="F14" i="6"/>
  <c r="I14" i="6" s="1"/>
  <c r="H15" i="6"/>
  <c r="G15" i="6"/>
  <c r="F15" i="6"/>
  <c r="I15" i="6" s="1"/>
  <c r="H16" i="6"/>
  <c r="G16" i="6"/>
  <c r="F16" i="6"/>
  <c r="I16" i="6" s="1"/>
  <c r="H17" i="6"/>
  <c r="G17" i="6"/>
  <c r="F17" i="6"/>
  <c r="I17" i="6" s="1"/>
  <c r="H20" i="6"/>
  <c r="G20" i="6"/>
  <c r="F20" i="6"/>
  <c r="I20" i="6" s="1"/>
  <c r="G21" i="6"/>
  <c r="F21" i="6"/>
  <c r="I21" i="6" s="1"/>
  <c r="G24" i="6"/>
  <c r="F24" i="6"/>
  <c r="I24" i="6" s="1"/>
  <c r="G25" i="6"/>
  <c r="F25" i="6"/>
  <c r="I25" i="6" s="1"/>
  <c r="I32" i="6"/>
  <c r="G34" i="6"/>
  <c r="F34" i="6"/>
  <c r="I34" i="6" s="1"/>
  <c r="G35" i="6"/>
  <c r="F35" i="6"/>
  <c r="I35" i="6" s="1"/>
  <c r="G36" i="6"/>
  <c r="F36" i="6"/>
  <c r="I36" i="6" s="1"/>
  <c r="G37" i="6"/>
  <c r="F37" i="6"/>
  <c r="I37" i="6" s="1"/>
  <c r="G38" i="6"/>
  <c r="F38" i="6"/>
  <c r="I38" i="6" s="1"/>
  <c r="G39" i="6"/>
  <c r="F39" i="6"/>
  <c r="I39" i="6" s="1"/>
  <c r="G40" i="6"/>
  <c r="F40" i="6"/>
  <c r="I40" i="6" s="1"/>
  <c r="G41" i="6"/>
  <c r="F41" i="6"/>
  <c r="I41" i="6" s="1"/>
  <c r="G44" i="6"/>
  <c r="I44" i="6" s="1"/>
  <c r="I45" i="6" s="1"/>
  <c r="E22" i="8"/>
  <c r="F3" i="8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19" i="10"/>
  <c r="E16" i="10"/>
  <c r="B44" i="1" s="1"/>
  <c r="F19" i="10"/>
  <c r="F16" i="10"/>
  <c r="B45" i="1" s="1"/>
  <c r="G19" i="10"/>
  <c r="G16" i="10"/>
  <c r="B46" i="1" s="1"/>
  <c r="H19" i="10"/>
  <c r="H16" i="10"/>
  <c r="B47" i="1" s="1"/>
  <c r="I19" i="10"/>
  <c r="I16" i="10"/>
  <c r="B48" i="1" s="1"/>
  <c r="I56" i="8" l="1"/>
  <c r="I50" i="8"/>
  <c r="F22" i="8"/>
  <c r="G3" i="8"/>
  <c r="G22" i="8" s="1"/>
  <c r="I24" i="8" s="1"/>
  <c r="I42" i="6"/>
  <c r="I26" i="6"/>
  <c r="I22" i="6"/>
  <c r="I18" i="6"/>
  <c r="I10" i="6"/>
  <c r="I42" i="4"/>
  <c r="B2" i="3" s="1"/>
  <c r="G41" i="4"/>
  <c r="D11" i="7"/>
  <c r="E11" i="7"/>
  <c r="F11" i="7"/>
  <c r="G11" i="7"/>
  <c r="H11" i="7"/>
  <c r="B16" i="3" l="1"/>
  <c r="B15" i="3"/>
  <c r="B17" i="3" s="1"/>
  <c r="C13" i="3" s="1"/>
  <c r="B4" i="1" l="1"/>
  <c r="C3" i="3"/>
  <c r="C4" i="3"/>
  <c r="C5" i="3"/>
  <c r="C6" i="3"/>
  <c r="C7" i="3"/>
  <c r="C8" i="3"/>
  <c r="C9" i="3"/>
  <c r="C10" i="3"/>
  <c r="C11" i="3"/>
  <c r="C12" i="3"/>
  <c r="C2" i="3"/>
  <c r="I47" i="6"/>
  <c r="H3" i="7"/>
  <c r="H4" i="7"/>
  <c r="H53" i="7"/>
  <c r="I20" i="10" s="1"/>
  <c r="I21" i="10" s="1"/>
  <c r="B28" i="1"/>
  <c r="I22" i="10" l="1"/>
  <c r="B34" i="1"/>
  <c r="D3" i="7"/>
  <c r="D4" i="7" s="1"/>
  <c r="D53" i="7" s="1"/>
  <c r="E3" i="7"/>
  <c r="E4" i="7" s="1"/>
  <c r="E53" i="7" s="1"/>
  <c r="F3" i="7"/>
  <c r="F4" i="7" s="1"/>
  <c r="F53" i="7" s="1"/>
  <c r="G3" i="7"/>
  <c r="G4" i="7" s="1"/>
  <c r="G53" i="7" s="1"/>
  <c r="H20" i="10" l="1"/>
  <c r="H21" i="10" s="1"/>
  <c r="B27" i="1"/>
  <c r="G20" i="10"/>
  <c r="G21" i="10" s="1"/>
  <c r="B26" i="1"/>
  <c r="B2" i="9"/>
  <c r="F20" i="10"/>
  <c r="F21" i="10" s="1"/>
  <c r="B25" i="1"/>
  <c r="E20" i="10"/>
  <c r="E21" i="10" s="1"/>
  <c r="B24" i="1"/>
  <c r="E22" i="10" l="1"/>
  <c r="B30" i="1"/>
  <c r="F22" i="10"/>
  <c r="B31" i="1"/>
  <c r="D7" i="9"/>
  <c r="F7" i="9" s="1"/>
  <c r="G7" i="9" s="1"/>
  <c r="D8" i="9"/>
  <c r="F8" i="9" s="1"/>
  <c r="D9" i="9"/>
  <c r="F9" i="9" s="1"/>
  <c r="D10" i="9"/>
  <c r="F10" i="9" s="1"/>
  <c r="D11" i="9"/>
  <c r="F11" i="9" s="1"/>
  <c r="D12" i="9"/>
  <c r="F12" i="9" s="1"/>
  <c r="D13" i="9"/>
  <c r="F13" i="9" s="1"/>
  <c r="D14" i="9"/>
  <c r="F14" i="9" s="1"/>
  <c r="D15" i="9"/>
  <c r="F15" i="9" s="1"/>
  <c r="D16" i="9"/>
  <c r="F16" i="9" s="1"/>
  <c r="D17" i="9"/>
  <c r="F17" i="9" s="1"/>
  <c r="D18" i="9"/>
  <c r="F18" i="9" s="1"/>
  <c r="D19" i="9"/>
  <c r="F19" i="9" s="1"/>
  <c r="D20" i="9"/>
  <c r="F20" i="9" s="1"/>
  <c r="D21" i="9"/>
  <c r="F21" i="9" s="1"/>
  <c r="D22" i="9"/>
  <c r="F22" i="9" s="1"/>
  <c r="D23" i="9"/>
  <c r="F23" i="9" s="1"/>
  <c r="D24" i="9"/>
  <c r="F24" i="9" s="1"/>
  <c r="D25" i="9"/>
  <c r="F25" i="9" s="1"/>
  <c r="D26" i="9"/>
  <c r="F26" i="9" s="1"/>
  <c r="D27" i="9"/>
  <c r="F27" i="9" s="1"/>
  <c r="D28" i="9"/>
  <c r="F28" i="9" s="1"/>
  <c r="D29" i="9"/>
  <c r="F29" i="9" s="1"/>
  <c r="D30" i="9"/>
  <c r="F30" i="9" s="1"/>
  <c r="G22" i="10"/>
  <c r="B32" i="1"/>
  <c r="H22" i="10"/>
  <c r="B33" i="1"/>
  <c r="G8" i="9" l="1"/>
  <c r="G9" i="9" l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3" i="9"/>
  <c r="G35" i="9" l="1"/>
  <c r="G37" i="9"/>
  <c r="B19" i="3" l="1"/>
  <c r="G36" i="9"/>
  <c r="B20" i="3" l="1"/>
  <c r="B6" i="1" s="1"/>
  <c r="B5" i="1"/>
</calcChain>
</file>

<file path=xl/sharedStrings.xml><?xml version="1.0" encoding="utf-8"?>
<sst xmlns="http://schemas.openxmlformats.org/spreadsheetml/2006/main" count="1343" uniqueCount="927">
  <si>
    <t>TAKAPLAST — SUMMARY</t>
  </si>
  <si>
    <t>FUNDING REQUIREMENT</t>
  </si>
  <si>
    <t>Total CAPEX (incl. 10% contingency)</t>
  </si>
  <si>
    <t>Working Capital (24 months)</t>
  </si>
  <si>
    <t>Pre-revenue buffer</t>
  </si>
  <si>
    <t>TOTAL FUNDING NEED</t>
  </si>
  <si>
    <t>100% investor-funded</t>
  </si>
  <si>
    <t>KEY METRICS</t>
  </si>
  <si>
    <t>Target capacity</t>
  </si>
  <si>
    <t>50 t/d net (18,250 t/yr)</t>
  </si>
  <si>
    <t>Nominal by M24</t>
  </si>
  <si>
    <t>Revenue streams</t>
  </si>
  <si>
    <t>3 flux + complementary</t>
  </si>
  <si>
    <t>Pellets + BTP + LPG + carbon credits + export</t>
  </si>
  <si>
    <t>3-flux operational start date</t>
  </si>
  <si>
    <t>M8</t>
  </si>
  <si>
    <t>17-day installation after container M7</t>
  </si>
  <si>
    <t>Monthly EBITDA breakeven</t>
  </si>
  <si>
    <t>M12</t>
  </si>
  <si>
    <t>48% capacity</t>
  </si>
  <si>
    <t>CAPEX payback</t>
  </si>
  <si>
    <t>18-22 months</t>
  </si>
  <si>
    <t>Cumulative net cash</t>
  </si>
  <si>
    <t>Direct + indirect jobs</t>
  </si>
  <si>
    <t>~115 direct + 50 coop collectors</t>
  </si>
  <si>
    <t>CO2 avoided</t>
  </si>
  <si>
    <t>55,080 tCO2eq/yr (Year 5)</t>
  </si>
  <si>
    <t>≡ 12,000 cars</t>
  </si>
  <si>
    <t>5-YEAR FINANCIAL PROJECTIONS</t>
  </si>
  <si>
    <t>Revenue Year 1 (core)</t>
  </si>
  <si>
    <t>Revenue Year 2 (core)</t>
  </si>
  <si>
    <t>Revenue Year 3 (core)</t>
  </si>
  <si>
    <t>Steady state</t>
  </si>
  <si>
    <t>Revenue Year 4 (core)</t>
  </si>
  <si>
    <t>Revenue Year 5 (core)</t>
  </si>
  <si>
    <t>OPEX Year 1</t>
  </si>
  <si>
    <t>OPEX Year 2</t>
  </si>
  <si>
    <t>OPEX Year 3</t>
  </si>
  <si>
    <t>OPEX Year 4</t>
  </si>
  <si>
    <t>OPEX Year 5</t>
  </si>
  <si>
    <t>EBITDA Year 1 (core)</t>
  </si>
  <si>
    <t>EBITDA Year 2 (core)</t>
  </si>
  <si>
    <t>EBITDA Year 3 (core)</t>
  </si>
  <si>
    <t>EBITDA Year 4 (core)</t>
  </si>
  <si>
    <t>EBITDA Year 5 (core)</t>
  </si>
  <si>
    <t>ROI 5 years (post-tax 30%)</t>
  </si>
  <si>
    <t>&gt;400%</t>
  </si>
  <si>
    <t>COMPLEMENTARY REVENUE (Yr5 with carbon credits at full scale)</t>
  </si>
  <si>
    <t>Complementary Year 1</t>
  </si>
  <si>
    <t>Complementary Year 2</t>
  </si>
  <si>
    <t>Complementary Year 3</t>
  </si>
  <si>
    <t>Complementary Year 4</t>
  </si>
  <si>
    <t>Complementary Year 5</t>
  </si>
  <si>
    <t>Total Revenue Year 1 (core + compl.)</t>
  </si>
  <si>
    <t>Total Revenue Year 2 (core + compl.)</t>
  </si>
  <si>
    <t>Total Revenue Year 3 (core + compl.)</t>
  </si>
  <si>
    <t>Total Revenue Year 4 (core + compl.)</t>
  </si>
  <si>
    <t>Total Revenue Year 5 (core + compl.)</t>
  </si>
  <si>
    <t>YEAR 3 REVENUE BREAKDOWN</t>
  </si>
  <si>
    <t>Product</t>
  </si>
  <si>
    <t>Year 3 ($)</t>
  </si>
  <si>
    <t>HDPE/PP Pellets</t>
  </si>
  <si>
    <t>BTP Pavers</t>
  </si>
  <si>
    <t>LPG/Syngas</t>
  </si>
  <si>
    <t>Carbon Credits</t>
  </si>
  <si>
    <t>Tipping Fees</t>
  </si>
  <si>
    <t>Other Complementary</t>
  </si>
  <si>
    <t>WHY THIS FUNDING LEVEL</t>
  </si>
  <si>
    <t>The total funding requirement reflects a fully dimensioned industrial project designed to reach 50 t/d net within 24 months in Kinshasa, DRC. This level deliberately reduces execution risk: (1) land ownership eliminates lease dependency; (2) dual generators ensure zero production downtime; (3) a 5-truck fleet is sized for Day 1 collection at scale; (4) 24-month WC covers 8+ months before production revenue; (5) dedicated IT ensures ISO-grade traceability; (6) 10% contingency absorbs delays and FX risk. The result: a project that withstands 2-3 month delays while still achieving EBITDA breakeven by M12 and full CAPEX payback within 22 months.</t>
  </si>
  <si>
    <t>Parameter</t>
  </si>
  <si>
    <t>Value</t>
  </si>
  <si>
    <t>Unit</t>
  </si>
  <si>
    <t>Notes</t>
  </si>
  <si>
    <t>TARGET CAPACITY</t>
  </si>
  <si>
    <t>Net processing capacity</t>
  </si>
  <si>
    <t>t/day</t>
  </si>
  <si>
    <t>Operating days per year</t>
  </si>
  <si>
    <t>days</t>
  </si>
  <si>
    <t>Annual capacity</t>
  </si>
  <si>
    <t>t/year</t>
  </si>
  <si>
    <t>50×365 = 18,250</t>
  </si>
  <si>
    <t>Import coefficient</t>
  </si>
  <si>
    <t>×</t>
  </si>
  <si>
    <t>Customs 10% + VAT 16% + logistics</t>
  </si>
  <si>
    <t>PLASTIC PROCUREMENT</t>
  </si>
  <si>
    <t>Purchase price per kg</t>
  </si>
  <si>
    <t>$/kg</t>
  </si>
  <si>
    <t>Mix: informal $0.02, coops $0.04, industry $0.06</t>
  </si>
  <si>
    <t>Purchase price per ton</t>
  </si>
  <si>
    <t>$/t</t>
  </si>
  <si>
    <t>Annual plastic cost (100%)</t>
  </si>
  <si>
    <t>$/year</t>
  </si>
  <si>
    <t>18,250t × $30/t</t>
  </si>
  <si>
    <t>ELECTRICITY</t>
  </si>
  <si>
    <t>Plant consumption</t>
  </si>
  <si>
    <t>kWh/month</t>
  </si>
  <si>
    <t>All machines+lighting+HVAC+pumps</t>
  </si>
  <si>
    <t>SNEL grid share</t>
  </si>
  <si>
    <t>ratio</t>
  </si>
  <si>
    <t>70% SNEL / 30% diesel backup</t>
  </si>
  <si>
    <t>SNEL rate</t>
  </si>
  <si>
    <t>$/kWh</t>
  </si>
  <si>
    <t>Current DRC tariff</t>
  </si>
  <si>
    <t>Diesel generator rate</t>
  </si>
  <si>
    <t>Including fuel cost</t>
  </si>
  <si>
    <t>Annual electricity cost</t>
  </si>
  <si>
    <t>WATER</t>
  </si>
  <si>
    <t>Daily water consumption</t>
  </si>
  <si>
    <t>m³/day</t>
  </si>
  <si>
    <t>Washing + cooling + sanitary</t>
  </si>
  <si>
    <t>Water cost per m³</t>
  </si>
  <si>
    <t>$/m³</t>
  </si>
  <si>
    <t>Borehole+treatment</t>
  </si>
  <si>
    <t>Annual water cost</t>
  </si>
  <si>
    <t>200×$2×365</t>
  </si>
  <si>
    <t>FUEL — VEHICLES</t>
  </si>
  <si>
    <t>Compactor trucks</t>
  </si>
  <si>
    <t>units</t>
  </si>
  <si>
    <t>10t compactors</t>
  </si>
  <si>
    <t>Monthly fuel per truck</t>
  </si>
  <si>
    <t>L/month</t>
  </si>
  <si>
    <t>Executive/management vehicles</t>
  </si>
  <si>
    <t>vehicles</t>
  </si>
  <si>
    <t>CEO+DG+CTO+COO+CCO+CMO+CFO = 7 SUVs + 2 utility</t>
  </si>
  <si>
    <t>Monthly fuel per vehicle</t>
  </si>
  <si>
    <t>Diesel price</t>
  </si>
  <si>
    <t>$/L</t>
  </si>
  <si>
    <t>Kinshasa pump price</t>
  </si>
  <si>
    <t>Annual truck fuel</t>
  </si>
  <si>
    <t>Annual vehicle fuel</t>
  </si>
  <si>
    <t>CAPACITY RAMP (drives Revenue &amp; variable OPEX)</t>
  </si>
  <si>
    <t>Year 1 utilization</t>
  </si>
  <si>
    <t>M1-7 collection only + M8-12 ramp 15-48% → ~15% avg</t>
  </si>
  <si>
    <t>Year 2 utilization</t>
  </si>
  <si>
    <t>52-95% → ~79% avg</t>
  </si>
  <si>
    <t>Year 3 utilization</t>
  </si>
  <si>
    <t>95-100%</t>
  </si>
  <si>
    <t>Year 4 utilization</t>
  </si>
  <si>
    <t>Full capacity</t>
  </si>
  <si>
    <t>Year 5 utilization</t>
  </si>
  <si>
    <t>Full capacity + potential expansion</t>
  </si>
  <si>
    <t>KEY FINANCIAL</t>
  </si>
  <si>
    <t>Contingency rate</t>
  </si>
  <si>
    <t>Min 10% of CAPEX</t>
  </si>
  <si>
    <t>CNSS employer rate</t>
  </si>
  <si>
    <t>DRC social security</t>
  </si>
  <si>
    <t>Corporate tax rate</t>
  </si>
  <si>
    <t>DRC standard</t>
  </si>
  <si>
    <t>REVENUE ASSUMPTIONS — CORE (at 100% capacity)</t>
  </si>
  <si>
    <t>Pellets revenue (100%)</t>
  </si>
  <si>
    <t>11,077t × $650/t</t>
  </si>
  <si>
    <t>BTP revenue (100%)</t>
  </si>
  <si>
    <t>276,000 m² × $10/m²</t>
  </si>
  <si>
    <t>Energy/LPG revenue (100%)</t>
  </si>
  <si>
    <t>2,400,000L × $0.85/L</t>
  </si>
  <si>
    <t>REVENUE — COMPLEMENTARY</t>
  </si>
  <si>
    <t>Carbon credits Year 3</t>
  </si>
  <si>
    <t>15,000 tCO2eq×$33/t net of 15% broker commission</t>
  </si>
  <si>
    <t>Carbon credits Year 4</t>
  </si>
  <si>
    <t>35,000 tCO2eq — ramp as capacity proven</t>
  </si>
  <si>
    <t>Carbon credits Year 5</t>
  </si>
  <si>
    <t>55,080 tCO2eq — full environmental impact</t>
  </si>
  <si>
    <t>Tipping fees (100%)</t>
  </si>
  <si>
    <t>~5,000t × $50/t — starts Year 2</t>
  </si>
  <si>
    <t>Export revenue Year 4+</t>
  </si>
  <si>
    <t>750t × $800/t FOB — ISO required</t>
  </si>
  <si>
    <t>Franchise Year 5</t>
  </si>
  <si>
    <t>$25K rights + 5% CA royalties</t>
  </si>
  <si>
    <t>Training/consulting Year 4+</t>
  </si>
  <si>
    <t>Academy 120 tech + AMO</t>
  </si>
  <si>
    <t>Technical AMO &amp; Industrial Integration</t>
  </si>
  <si>
    <t>AMO Rate</t>
  </si>
  <si>
    <t>partially integrated engineering by Chinese suppliers, the standard "Low-Cost" ratio chosen between 3% and 5%</t>
  </si>
  <si>
    <t>CAPEX Category</t>
  </si>
  <si>
    <t>Amount (USD)</t>
  </si>
  <si>
    <t>% of CAPEX</t>
  </si>
  <si>
    <t>Source</t>
  </si>
  <si>
    <t>Key Assumptions</t>
  </si>
  <si>
    <t>Production equipment — 3 flux (delivered KIN)</t>
  </si>
  <si>
    <t>Quotes</t>
  </si>
  <si>
    <t>×1.44 import, 40' container</t>
  </si>
  <si>
    <t>Land — Kinkole 8,000m² (purchase+frees)</t>
  </si>
  <si>
    <t>Estimate</t>
  </si>
  <si>
    <t>Construction — hall+offices+annexes</t>
  </si>
  <si>
    <t>Power &amp; electrical</t>
  </si>
  <si>
    <t>Water+pumps+effluent</t>
  </si>
  <si>
    <t>HVAC</t>
  </si>
  <si>
    <t>Security</t>
  </si>
  <si>
    <t>Vehicles (5 trucks+7 SUVs+2 utility)</t>
  </si>
  <si>
    <t>IT &amp; traceability</t>
  </si>
  <si>
    <t>Legal &amp; certifications</t>
  </si>
  <si>
    <t>Training &amp; tech assistance</t>
  </si>
  <si>
    <t>Subtotal CAPEX (excl. contingency)</t>
  </si>
  <si>
    <t>Contingency (10%)</t>
  </si>
  <si>
    <t>Calculated</t>
  </si>
  <si>
    <t>Min 10% — delays, FX, unforeseen</t>
  </si>
  <si>
    <t>Customs / FX unforeseen buffer</t>
  </si>
  <si>
    <t>Estimate 2% – customs delays, extra storage, FX slippage</t>
  </si>
  <si>
    <t>TOTAL CAPEX</t>
  </si>
  <si>
    <t>Working Capital — 24 months</t>
  </si>
  <si>
    <t>WC tab</t>
  </si>
  <si>
    <t>Pre-revenue buffer M1-M24</t>
  </si>
  <si>
    <t>TOTAL FUNDING REQUIREMENT</t>
  </si>
  <si>
    <t>CAPEX + Working Capital</t>
  </si>
  <si>
    <t>Flux</t>
  </si>
  <si>
    <t>Equipment</t>
  </si>
  <si>
    <t>Supplier</t>
  </si>
  <si>
    <t>Country</t>
  </si>
  <si>
    <t>Qty</t>
  </si>
  <si>
    <t>FOB ($)</t>
  </si>
  <si>
    <t>FOB Tot ($)</t>
  </si>
  <si>
    <t>Coeff.</t>
  </si>
  <si>
    <t>Delivered ($)</t>
  </si>
  <si>
    <t>FLUX 1 — HDPE/PP PELLETS</t>
  </si>
  <si>
    <t>Pellets</t>
  </si>
  <si>
    <t>Automated NIR sorter</t>
  </si>
  <si>
    <t>Wanrooe Machinery</t>
  </si>
  <si>
    <t>China</t>
  </si>
  <si>
    <t>HDPE/PP/mix, 2 t/h</t>
  </si>
  <si>
    <t>Plastic washer (500kg/h)</t>
  </si>
  <si>
    <t>Genius Machinery</t>
  </si>
  <si>
    <t>3 parallel lines</t>
  </si>
  <si>
    <t>Plastic shredder</t>
  </si>
  <si>
    <t>30 t/d sorted combined</t>
  </si>
  <si>
    <t>Centrifugal dryer (8t/d)</t>
  </si>
  <si>
    <t>Zhangjiagang Lianding</t>
  </si>
  <si>
    <t>1 per extruder</t>
  </si>
  <si>
    <t>Extruder pelletizer (200kg/h)</t>
  </si>
  <si>
    <t>Nanjing Haisi</t>
  </si>
  <si>
    <t>Bottleneck #1: 5×8t/d=40t/d</t>
  </si>
  <si>
    <t>Pelletizing cooler</t>
  </si>
  <si>
    <t>Tongsan Plastic</t>
  </si>
  <si>
    <t>1:1 with extruders</t>
  </si>
  <si>
    <t>Water filtration (5m³/h)</t>
  </si>
  <si>
    <t>Local/import</t>
  </si>
  <si>
    <t>DRC</t>
  </si>
  <si>
    <t>No import</t>
  </si>
  <si>
    <t>Subtotal FLUX 1</t>
  </si>
  <si>
    <t>FLUX 2 — ENERGY (LPG/SYNGAS)</t>
  </si>
  <si>
    <t>Energy</t>
  </si>
  <si>
    <t>Fine shredder (300kg/h)</t>
  </si>
  <si>
    <t>Zhangjiagang Sevenstars</t>
  </si>
  <si>
    <t>Gasification prep</t>
  </si>
  <si>
    <t>Rotary dryer (500kg/h)</t>
  </si>
  <si>
    <t>Henan Hongji</t>
  </si>
  <si>
    <t>Gasifier 700°C (10t/d)</t>
  </si>
  <si>
    <t>Ankur Scientific</t>
  </si>
  <si>
    <t>India</t>
  </si>
  <si>
    <t>150+ Africa installations</t>
  </si>
  <si>
    <t>Gas filtration (100Nm³/h)</t>
  </si>
  <si>
    <t>EnviroPro</t>
  </si>
  <si>
    <t>France</t>
  </si>
  <si>
    <t>LPG compressor (50bar)</t>
  </si>
  <si>
    <t>Atlas Copco</t>
  </si>
  <si>
    <t>Sweden</t>
  </si>
  <si>
    <t>LPG storage cylinders</t>
  </si>
  <si>
    <t>Local supplier</t>
  </si>
  <si>
    <t>LPG safety system</t>
  </si>
  <si>
    <t>Import</t>
  </si>
  <si>
    <t>Europe</t>
  </si>
  <si>
    <t>Detectors, valves</t>
  </si>
  <si>
    <t>Subtotal FLUX 2</t>
  </si>
  <si>
    <t>FLUX 3 — CONSTRUCTION (PAVERS/COMPOSITES)</t>
  </si>
  <si>
    <t>BTP</t>
  </si>
  <si>
    <t>Heavy shredder (800kg/h)</t>
  </si>
  <si>
    <t>Changshu Shouyu</t>
  </si>
  <si>
    <t>Heated bitumen mixer (2t)</t>
  </si>
  <si>
    <t>Liaoyang Honji</t>
  </si>
  <si>
    <t>Hydraulic press 100t/700bar</t>
  </si>
  <si>
    <t>Zhengzhou Alliance</t>
  </si>
  <si>
    <t>Bottleneck #2</t>
  </si>
  <si>
    <t>Paver/tile molds</t>
  </si>
  <si>
    <t>Local fabrication</t>
  </si>
  <si>
    <t>Various formats</t>
  </si>
  <si>
    <t>Bitumen heating 5000L</t>
  </si>
  <si>
    <t>Cooling conveyor</t>
  </si>
  <si>
    <t>Post-pressing</t>
  </si>
  <si>
    <t>Cutting/finishing table</t>
  </si>
  <si>
    <t>Local</t>
  </si>
  <si>
    <t>Subtotal FLUX 3</t>
  </si>
  <si>
    <t>SHARED EQUIPMENT</t>
  </si>
  <si>
    <t>Shared</t>
  </si>
  <si>
    <t>Overhead Crane/forklift</t>
  </si>
  <si>
    <t>Air compressor</t>
  </si>
  <si>
    <t>Pneumatic tools</t>
  </si>
  <si>
    <t>Industrial scales</t>
  </si>
  <si>
    <t>In + prod + out</t>
  </si>
  <si>
    <t>Quality Lab equipment</t>
  </si>
  <si>
    <t>MFI, density, tensile</t>
  </si>
  <si>
    <t>Maintenance tooling</t>
  </si>
  <si>
    <t>Various</t>
  </si>
  <si>
    <t>Critical spares stock</t>
  </si>
  <si>
    <t>Suppliers</t>
  </si>
  <si>
    <t>Preventive stock</t>
  </si>
  <si>
    <t>Freight+customs+insurance</t>
  </si>
  <si>
    <t>DHL GF</t>
  </si>
  <si>
    <t>Intl</t>
  </si>
  <si>
    <t>40' container to KIN</t>
  </si>
  <si>
    <t>Installation+commissioning</t>
  </si>
  <si>
    <t>On-site</t>
  </si>
  <si>
    <t>Supervision + labor</t>
  </si>
  <si>
    <t>Accessories/connectors/misc</t>
  </si>
  <si>
    <t>Completion items</t>
  </si>
  <si>
    <t>Subtotal SHARED EQUIPMENT</t>
  </si>
  <si>
    <t>TOTAL EQUIPMENT FOB</t>
  </si>
  <si>
    <t>TOTAL DELIVERED KINSHASA</t>
  </si>
  <si>
    <t>Cat.</t>
  </si>
  <si>
    <t>Item</t>
  </si>
  <si>
    <t>Spec</t>
  </si>
  <si>
    <t>Unit ($)</t>
  </si>
  <si>
    <t>Total ($)</t>
  </si>
  <si>
    <t>Phase</t>
  </si>
  <si>
    <t>LAND — Kinkole 8,000 m²</t>
  </si>
  <si>
    <t>Land</t>
  </si>
  <si>
    <t>Land acquisition 8,000m²</t>
  </si>
  <si>
    <t>Kinkole</t>
  </si>
  <si>
    <t>M1-M2</t>
  </si>
  <si>
    <t>$25/m²</t>
  </si>
  <si>
    <t>Notary / transfer fees</t>
  </si>
  <si>
    <t>~7.5%</t>
  </si>
  <si>
    <t>Survey+boundary (topographic)</t>
  </si>
  <si>
    <t>M1</t>
  </si>
  <si>
    <t>Subtotal LAND</t>
  </si>
  <si>
    <t>CONSTRUCTION</t>
  </si>
  <si>
    <t>C</t>
  </si>
  <si>
    <t>Industrial hall 3,000m²</t>
  </si>
  <si>
    <t>Steel+roof+slab</t>
  </si>
  <si>
    <t>M2-M6</t>
  </si>
  <si>
    <t>$115/m²</t>
  </si>
  <si>
    <t>Offices 300m²</t>
  </si>
  <si>
    <t>Masonry</t>
  </si>
  <si>
    <t>M3-M6</t>
  </si>
  <si>
    <t>$200/m²</t>
  </si>
  <si>
    <t>Locker rooms 100m²</t>
  </si>
  <si>
    <t>M3-M5</t>
  </si>
  <si>
    <t>Quality lab 50m²</t>
  </si>
  <si>
    <t>A/C</t>
  </si>
  <si>
    <t>M4-M6</t>
  </si>
  <si>
    <t>Raw storage 500m²</t>
  </si>
  <si>
    <t>Open-sided</t>
  </si>
  <si>
    <t>$50/m²</t>
  </si>
  <si>
    <t>Finished storage 400m²</t>
  </si>
  <si>
    <t>Enclosed</t>
  </si>
  <si>
    <t>$75/m²</t>
  </si>
  <si>
    <t>Internal roads 1,500m²</t>
  </si>
  <si>
    <t>Concrete</t>
  </si>
  <si>
    <t>$20/m²</t>
  </si>
  <si>
    <t>Perimeter fence 360lm</t>
  </si>
  <si>
    <t>Wall+mesh</t>
  </si>
  <si>
    <t>M2-M3</t>
  </si>
  <si>
    <t>$70/lm</t>
  </si>
  <si>
    <t>Drainage</t>
  </si>
  <si>
    <t>Subtotal CONSTRUCTION</t>
  </si>
  <si>
    <t>POWER</t>
  </si>
  <si>
    <t>P</t>
  </si>
  <si>
    <t>Generator 200kVA #1</t>
  </si>
  <si>
    <t>Incl.install</t>
  </si>
  <si>
    <t>M2-M4</t>
  </si>
  <si>
    <t>Primary</t>
  </si>
  <si>
    <t>Generator 200kVA #2</t>
  </si>
  <si>
    <t>Redundancy</t>
  </si>
  <si>
    <t>SNEL+transfo 400kVA</t>
  </si>
  <si>
    <t>Grid stabilization</t>
  </si>
  <si>
    <t>TGBT+distribution</t>
  </si>
  <si>
    <t>380V 3-phase</t>
  </si>
  <si>
    <t>Solar 150kWp</t>
  </si>
  <si>
    <t>Panels+inv+batt</t>
  </si>
  <si>
    <t>Yr2</t>
  </si>
  <si>
    <t>ROI 1.2 yr</t>
  </si>
  <si>
    <t>Diesel tank 5,000L</t>
  </si>
  <si>
    <t>M3</t>
  </si>
  <si>
    <t>Gen. maint. Yr1</t>
  </si>
  <si>
    <t>Yr1</t>
  </si>
  <si>
    <t>Preventive</t>
  </si>
  <si>
    <t>Subtotal POWER</t>
  </si>
  <si>
    <t>W</t>
  </si>
  <si>
    <t>Industrial Borehole</t>
  </si>
  <si>
    <t>~50m</t>
  </si>
  <si>
    <t>Water Pumps 2gal/min 17h/d</t>
  </si>
  <si>
    <t>25 units (centrifugal+piping)</t>
  </si>
  <si>
    <t>25×7.7m³/d=192m³/d</t>
  </si>
  <si>
    <t>Storage Tank 50m³</t>
  </si>
  <si>
    <t>Buffer</t>
  </si>
  <si>
    <t>4h buffer</t>
  </si>
  <si>
    <t>Distribution network</t>
  </si>
  <si>
    <t>PVC+valves</t>
  </si>
  <si>
    <t>Wastewater treatment</t>
  </si>
  <si>
    <t>Setting+filtration</t>
  </si>
  <si>
    <t>MECNT compliance</t>
  </si>
  <si>
    <t>Subtotal WATER</t>
  </si>
  <si>
    <t>H</t>
  </si>
  <si>
    <t>Office splits</t>
  </si>
  <si>
    <t>12-18kBTU</t>
  </si>
  <si>
    <t>M5-M6</t>
  </si>
  <si>
    <t>Lab splits</t>
  </si>
  <si>
    <t>18kBTU</t>
  </si>
  <si>
    <t>Temp. control</t>
  </si>
  <si>
    <t>Industrial ventilation</t>
  </si>
  <si>
    <t>Axial</t>
  </si>
  <si>
    <t>Heat/fume exhaust</t>
  </si>
  <si>
    <t>Subtotal HVAC</t>
  </si>
  <si>
    <t>SECURITY</t>
  </si>
  <si>
    <t>S</t>
  </si>
  <si>
    <t>CCTV 24/7</t>
  </si>
  <si>
    <t>8 IP+NVR</t>
  </si>
  <si>
    <t>Fire suppression</t>
  </si>
  <si>
    <t>Extinguishers+hoses</t>
  </si>
  <si>
    <t>LPG standard</t>
  </si>
  <si>
    <t>PPE stock</t>
  </si>
  <si>
    <t>80 sets</t>
  </si>
  <si>
    <t>Subtotal SECURITY</t>
  </si>
  <si>
    <t>VEHICLES</t>
  </si>
  <si>
    <t>V</t>
  </si>
  <si>
    <t>Compactor truck 10t</t>
  </si>
  <si>
    <t>Collection 50t/d</t>
  </si>
  <si>
    <t>M1-M6</t>
  </si>
  <si>
    <t>1 used+4 ordered</t>
  </si>
  <si>
    <t>SUV — CEO</t>
  </si>
  <si>
    <t>4×4</t>
  </si>
  <si>
    <t>Founder</t>
  </si>
  <si>
    <t>SUV — Managing Director (Gérant)</t>
  </si>
  <si>
    <t>DG — daily operations</t>
  </si>
  <si>
    <t>SUV — CTO</t>
  </si>
  <si>
    <t>SUV — COO</t>
  </si>
  <si>
    <t>SUV — CCO</t>
  </si>
  <si>
    <t>SUV — CMO</t>
  </si>
  <si>
    <t>M4</t>
  </si>
  <si>
    <t>SUV — CFO</t>
  </si>
  <si>
    <t>M10</t>
  </si>
  <si>
    <t>Utility flatbed</t>
  </si>
  <si>
    <t>Internal/delivery</t>
  </si>
  <si>
    <t>Subtotal VEHICLES</t>
  </si>
  <si>
    <t>IT &amp; TRACEABILITY</t>
  </si>
  <si>
    <t>IT</t>
  </si>
  <si>
    <t>Traceability app (custom)</t>
  </si>
  <si>
    <t>Lot/QR tracking</t>
  </si>
  <si>
    <t>M3-M8</t>
  </si>
  <si>
    <t>ERP Odoo Enterprise</t>
  </si>
  <si>
    <t>Acctg+inv+HR+CRM</t>
  </si>
  <si>
    <t>Server+UPS+LAN</t>
  </si>
  <si>
    <t>PCs+tablets</t>
  </si>
  <si>
    <t>10 PCs + 15 tablets</t>
  </si>
  <si>
    <t>Subtotal IT &amp; TRACEABILITY</t>
  </si>
  <si>
    <t>LEGAL &amp; CERTIFICATIONS</t>
  </si>
  <si>
    <t>Legal</t>
  </si>
  <si>
    <t>SARL registration (DRC)</t>
  </si>
  <si>
    <t>Environmental Impact Assessment (EIA)</t>
  </si>
  <si>
    <t>LPG/hydrocarbon license atty</t>
  </si>
  <si>
    <t>Permits &amp; authorizations</t>
  </si>
  <si>
    <t>M1-M3</t>
  </si>
  <si>
    <t>ISO 9001 certification</t>
  </si>
  <si>
    <t>LNBTP paver certification</t>
  </si>
  <si>
    <t>M24</t>
  </si>
  <si>
    <t>Subsidy application consulting</t>
  </si>
  <si>
    <t>BAD/PNUD/AFD</t>
  </si>
  <si>
    <t>Notary / attorney general</t>
  </si>
  <si>
    <t>Insurance RC+equipment Yr1</t>
  </si>
  <si>
    <t>Subtotal LEGAL &amp; CERTIFICATIONS</t>
  </si>
  <si>
    <t>TRAINING</t>
  </si>
  <si>
    <t>T</t>
  </si>
  <si>
    <t>China training (2 pers.)</t>
  </si>
  <si>
    <t>2 weeks</t>
  </si>
  <si>
    <t>M4-M5</t>
  </si>
  <si>
    <t>INPP local training</t>
  </si>
  <si>
    <t>20 operators</t>
  </si>
  <si>
    <t>M6-M8</t>
  </si>
  <si>
    <t>Install consultant</t>
  </si>
  <si>
    <t>Process expert</t>
  </si>
  <si>
    <t>M0-M8</t>
  </si>
  <si>
    <t>Technical Installation Consultant – 3-Flow Process Expert (12–18 month assignment)</t>
  </si>
  <si>
    <t>Subtotal TRAINING</t>
  </si>
  <si>
    <t>TOTAL INFRA+VEHICLES+IT+LEGAL+TRAINING</t>
  </si>
  <si>
    <t>Position</t>
  </si>
  <si>
    <t>#</t>
  </si>
  <si>
    <t>Monthly ($)</t>
  </si>
  <si>
    <t>Annual ($)</t>
  </si>
  <si>
    <t>CNSS 25%</t>
  </si>
  <si>
    <t>Benefits*</t>
  </si>
  <si>
    <t>Bonuses**</t>
  </si>
  <si>
    <t>Total/yr ($)</t>
  </si>
  <si>
    <t>Car?</t>
  </si>
  <si>
    <t>Start</t>
  </si>
  <si>
    <t>Link</t>
  </si>
  <si>
    <t>EXECUTIVE TEAM</t>
  </si>
  <si>
    <t>Exec</t>
  </si>
  <si>
    <t>CEO / Founder (Président)</t>
  </si>
  <si>
    <t>Yes</t>
  </si>
  <si>
    <t>M0 — strategic vision, investors, expansion</t>
  </si>
  <si>
    <t>www.linkedin.com/in/joeloxybel</t>
  </si>
  <si>
    <t>Managing Director / Gérant statutaire</t>
  </si>
  <si>
    <t>M12 — daily operations, legal representative</t>
  </si>
  <si>
    <t>https://www.linkedin.com/in/patrick-kahasha-mbasha-1a177323/</t>
  </si>
  <si>
    <t>Chief Technology Officer (CTO)</t>
  </si>
  <si>
    <t>M1 — critical, plant engineering</t>
  </si>
  <si>
    <t>https://www.linkedin.com/in/jiry-ngoma-b4872a143/</t>
  </si>
  <si>
    <t>Chief Operating Officer (COO)</t>
  </si>
  <si>
    <t>M1 — supply chain, logistics</t>
  </si>
  <si>
    <t>https://www.linkedin.com/in/serge-tshishimbi-2b3396140/</t>
  </si>
  <si>
    <t>Chief Commercial Officer (CCO)</t>
  </si>
  <si>
    <t>M8 — sales 3 flux + export</t>
  </si>
  <si>
    <t>https://www.linkedin.com/in/serge-bazola-ndelo-59551941/</t>
  </si>
  <si>
    <t>Chief Marketing Officer (CMO)</t>
  </si>
  <si>
    <t>M4 — brand, positioning, market penetration</t>
  </si>
  <si>
    <t>https://www.linkedin.com/in/aurorejoncour/</t>
  </si>
  <si>
    <t>Chief Financial Officer (CFO)</t>
  </si>
  <si>
    <t>M3 — OHADA accounting, BAD/AFD reporting</t>
  </si>
  <si>
    <t>Subtotal</t>
  </si>
  <si>
    <t>MIDDLE MANAGEMENT</t>
  </si>
  <si>
    <t>Mgmt</t>
  </si>
  <si>
    <t>Collection &amp; Logistics Manager</t>
  </si>
  <si>
    <t>No</t>
  </si>
  <si>
    <t>M2</t>
  </si>
  <si>
    <t>Production Manager</t>
  </si>
  <si>
    <t>M6</t>
  </si>
  <si>
    <t>Accountant</t>
  </si>
  <si>
    <t>HR / Admin Manager</t>
  </si>
  <si>
    <t>Maintenance Engineer</t>
  </si>
  <si>
    <t>Quality Manager</t>
  </si>
  <si>
    <t>IT / Traceability Project Mgr</t>
  </si>
  <si>
    <t>Application Developer</t>
  </si>
  <si>
    <t>MARKETING TEAM (under CMO)</t>
  </si>
  <si>
    <t>Mktg</t>
  </si>
  <si>
    <t>Digital Marketing Specialist</t>
  </si>
  <si>
    <t>M5</t>
  </si>
  <si>
    <t>Content / Community Manager</t>
  </si>
  <si>
    <t>SALES (under CCO)</t>
  </si>
  <si>
    <t>Sales</t>
  </si>
  <si>
    <t>B2B Sales Industry / Energy</t>
  </si>
  <si>
    <t>https://www.linkedin.com/in/etienne-titi-bakadisansa-62136340/</t>
  </si>
  <si>
    <t>B2B Sales BTP</t>
  </si>
  <si>
    <t>https://www.linkedin.com/in/augustin-mbongu-1a3384235/</t>
  </si>
  <si>
    <t>B2B Sales Distribution / Resellers</t>
  </si>
  <si>
    <t>https://www.linkedin.com/in/choudhary-muhammad-aamir-saeed-8b45a250/</t>
  </si>
  <si>
    <t>Multipurpose land / key accounts</t>
  </si>
  <si>
    <t>https://www.linkedin.com/in/sarahmukonga91/</t>
  </si>
  <si>
    <t>OPERATIONS</t>
  </si>
  <si>
    <t>Ops</t>
  </si>
  <si>
    <t>Production Operators</t>
  </si>
  <si>
    <t>Truck Drivers</t>
  </si>
  <si>
    <t>Team Supervisors</t>
  </si>
  <si>
    <t>Electrician/Technician</t>
  </si>
  <si>
    <t>Warehouse/Logistics</t>
  </si>
  <si>
    <t>Security Guards</t>
  </si>
  <si>
    <t>Cleaning Staff</t>
  </si>
  <si>
    <t>Lab Technician</t>
  </si>
  <si>
    <t>COLLECTORS (external)</t>
  </si>
  <si>
    <t>Coll.</t>
  </si>
  <si>
    <t>Independent collectors (coops)</t>
  </si>
  <si>
    <t>M3 — paid $/kg, no CNSS, cost in Materials</t>
  </si>
  <si>
    <t>TOTAL PAYROLL — Year 3</t>
  </si>
  <si>
    <t>*Benefits = fixed benefits linked to the position, independent of performance. Exemples : housing allowance, telephone allowance, local per diem, health insurance coverage, estimated benefits in kind (meals, etc.). These amounts are included on a recurring basis each year.</t>
  </si>
  <si>
    <t>**Bonuses = variable elements of compensation linked to performance or objectives (annual bonus, performance bonus, exceptional bonus). They are set as a percentage of annual salaray, and are included in the total annual cost of the position, but conceptually they are not guaranteed as benefit.</t>
  </si>
  <si>
    <t>Line Item</t>
  </si>
  <si>
    <t>Basis</t>
  </si>
  <si>
    <t>Yr1 ($)</t>
  </si>
  <si>
    <t>Yr2 ($)</t>
  </si>
  <si>
    <t>Yr3 ($)</t>
  </si>
  <si>
    <t>Yr4 ($)</t>
  </si>
  <si>
    <t>Yr5 ($)</t>
  </si>
  <si>
    <t>HUMAN RESOURCES</t>
  </si>
  <si>
    <t>HR</t>
  </si>
  <si>
    <t>Internal Payroll (see OPEX_HR)</t>
  </si>
  <si>
    <t>Progressive hiring</t>
  </si>
  <si>
    <t>Subtotal HR</t>
  </si>
  <si>
    <t>RAW MATERIALS &amp; CONSUMABLES</t>
  </si>
  <si>
    <t>Materials</t>
  </si>
  <si>
    <t>Plastic (all sources incl. collectors)</t>
  </si>
  <si>
    <t>18,250t×$30/t×ramp</t>
  </si>
  <si>
    <t>Water</t>
  </si>
  <si>
    <t>200m³/d×$2/m³×365d</t>
  </si>
  <si>
    <t>Consumables</t>
  </si>
  <si>
    <t>Cement BTP</t>
  </si>
  <si>
    <t>~3t/d × $100/t × 365d</t>
  </si>
  <si>
    <t>Bitumen</t>
  </si>
  <si>
    <t>Heated mixer</t>
  </si>
  <si>
    <t>Subtotal Materials</t>
  </si>
  <si>
    <t>Electricity</t>
  </si>
  <si>
    <t>SNEL+diesel</t>
  </si>
  <si>
    <t>115,000kWh/mo blended rate</t>
  </si>
  <si>
    <t>Subtotal Electricity</t>
  </si>
  <si>
    <t>TRANSPORT &amp; LOGISTICS</t>
  </si>
  <si>
    <t>Transport</t>
  </si>
  <si>
    <t>Truck fuel (5 compactors)</t>
  </si>
  <si>
    <t>Vehicle fuel</t>
  </si>
  <si>
    <t>Truck maint.</t>
  </si>
  <si>
    <t>Vehicle maint.</t>
  </si>
  <si>
    <t>Insurance 14 veh.</t>
  </si>
  <si>
    <t>Haulage→plant</t>
  </si>
  <si>
    <t>Tolls &amp; misc</t>
  </si>
  <si>
    <t>Customs &amp; port handling (minor imports)</t>
  </si>
  <si>
    <t>Subtotal Transport</t>
  </si>
  <si>
    <t>MAINTENANCE</t>
  </si>
  <si>
    <t>Maint.</t>
  </si>
  <si>
    <t>Preventive — machines</t>
  </si>
  <si>
    <t>Preventive — Corrective</t>
  </si>
  <si>
    <t>Maint. Spare parts major</t>
  </si>
  <si>
    <t>Generators</t>
  </si>
  <si>
    <t>Buildings/infra</t>
  </si>
  <si>
    <t>Subtotal Maint</t>
  </si>
  <si>
    <t>LAND CHARGES</t>
  </si>
  <si>
    <t>Property taxes</t>
  </si>
  <si>
    <t>Grounds maint.</t>
  </si>
  <si>
    <t>Subtotal Land</t>
  </si>
  <si>
    <t>MARKETING &amp; SALES</t>
  </si>
  <si>
    <t>Digital marketing</t>
  </si>
  <si>
    <t>Events/shows/advertising</t>
  </si>
  <si>
    <t>Market penetration/facilitation</t>
  </si>
  <si>
    <t>Samples &amp; demos</t>
  </si>
  <si>
    <t>sales Commissions (2% rev)</t>
  </si>
  <si>
    <t>Subtotal Mktg</t>
  </si>
  <si>
    <t>ADMINISTRATIVE</t>
  </si>
  <si>
    <t>Adm</t>
  </si>
  <si>
    <t>Telecom &amp; Internet</t>
  </si>
  <si>
    <t>Office Supplies</t>
  </si>
  <si>
    <t>Software &amp; licences</t>
  </si>
  <si>
    <t>External Audit</t>
  </si>
  <si>
    <t>Legal services</t>
  </si>
  <si>
    <t>Lab tests (OCC/SGS)</t>
  </si>
  <si>
    <t>Miscellaneous</t>
  </si>
  <si>
    <t>Subtotal Adm</t>
  </si>
  <si>
    <t>TOTAL OPEX</t>
  </si>
  <si>
    <t>Unit kW</t>
  </si>
  <si>
    <t>Daily kWh</t>
  </si>
  <si>
    <t>Monthly kWh</t>
  </si>
  <si>
    <t>Annual kWh</t>
  </si>
  <si>
    <t>Annual $</t>
  </si>
  <si>
    <t>ELECTRICITY DETAIL</t>
  </si>
  <si>
    <t>Flux 1</t>
  </si>
  <si>
    <t>NIR sorter</t>
  </si>
  <si>
    <t>1×5kW</t>
  </si>
  <si>
    <t>17h/day operation</t>
  </si>
  <si>
    <t>Washers ×3</t>
  </si>
  <si>
    <t>3×22kW</t>
  </si>
  <si>
    <t>Shredders ×4</t>
  </si>
  <si>
    <t>4×30kW</t>
  </si>
  <si>
    <t>Dryers ×5</t>
  </si>
  <si>
    <t>5×15kW</t>
  </si>
  <si>
    <t>Extruders ×5</t>
  </si>
  <si>
    <t>5×55kW</t>
  </si>
  <si>
    <t>Main power consumer</t>
  </si>
  <si>
    <t>Coolers ×5</t>
  </si>
  <si>
    <t>5×7kW</t>
  </si>
  <si>
    <t>Water filt.</t>
  </si>
  <si>
    <t>1×3kW</t>
  </si>
  <si>
    <t>Flux 2</t>
  </si>
  <si>
    <t>Fine shredder</t>
  </si>
  <si>
    <t>1×22kW</t>
  </si>
  <si>
    <t>Rotary dryer</t>
  </si>
  <si>
    <t>1×18kW</t>
  </si>
  <si>
    <t>Gasifiers ×2</t>
  </si>
  <si>
    <t>2×15kW</t>
  </si>
  <si>
    <t>Low elec — thermal process</t>
  </si>
  <si>
    <t>Gas filt.</t>
  </si>
  <si>
    <t>LPG comp. ×2</t>
  </si>
  <si>
    <t>2×22kW</t>
  </si>
  <si>
    <t>Flux 3</t>
  </si>
  <si>
    <t>Heavy shredder</t>
  </si>
  <si>
    <t>1×30kW</t>
  </si>
  <si>
    <t>Bitumen mixer</t>
  </si>
  <si>
    <t>Presses ×3</t>
  </si>
  <si>
    <t>3×37kW</t>
  </si>
  <si>
    <t>Crane</t>
  </si>
  <si>
    <t>1×15kW</t>
  </si>
  <si>
    <t>8h/day avg</t>
  </si>
  <si>
    <t>Air comp.</t>
  </si>
  <si>
    <t>1×7kW</t>
  </si>
  <si>
    <t>Light+HVAC</t>
  </si>
  <si>
    <t>24h (security lighting)</t>
  </si>
  <si>
    <t>Pumps ×25</t>
  </si>
  <si>
    <t>25×0.75kW</t>
  </si>
  <si>
    <t>17h/day</t>
  </si>
  <si>
    <t>TOTAL PLANT kWh</t>
  </si>
  <si>
    <t>Blended $/kWh</t>
  </si>
  <si>
    <t>SNEL 70%+diesel 30%</t>
  </si>
  <si>
    <t>ANNUAL ELECTRICITY COST</t>
  </si>
  <si>
    <t>Cross-check: Assumptions tab</t>
  </si>
  <si>
    <t>Must match Assumptions!B16</t>
  </si>
  <si>
    <t>WATERCONSUMPTION — see CAPEX_Infra for pump detail</t>
  </si>
  <si>
    <t>Annual water cost (from Assumptions)</t>
  </si>
  <si>
    <t>Plastic washing</t>
  </si>
  <si>
    <t>3 washers</t>
  </si>
  <si>
    <t>~50 m³/d total</t>
  </si>
  <si>
    <t>Rinsing / cooling</t>
  </si>
  <si>
    <t>Extruders+coolers</t>
  </si>
  <si>
    <t>~30 m³/d</t>
  </si>
  <si>
    <t>Bitumen mixer cooling</t>
  </si>
  <si>
    <t>~10 m³/d</t>
  </si>
  <si>
    <t>Sanitary / cleaning</t>
  </si>
  <si>
    <t>~100 staff</t>
  </si>
  <si>
    <t>~20 m³/d</t>
  </si>
  <si>
    <t>Fire reserve / losses</t>
  </si>
  <si>
    <t>Safety margin +20%</t>
  </si>
  <si>
    <t>~24 m³/d</t>
  </si>
  <si>
    <t>TOTAL WATER (m³)</t>
  </si>
  <si>
    <t>Cost per m³</t>
  </si>
  <si>
    <t>ANNUAL WATER COST (100%)</t>
  </si>
  <si>
    <t>FUEL — see Assumptions for vehicle counts</t>
  </si>
  <si>
    <t>Trucks</t>
  </si>
  <si>
    <t>Compactor trucks (10t)</t>
  </si>
  <si>
    <t>5 units</t>
  </si>
  <si>
    <t>200 L/mo each</t>
  </si>
  <si>
    <t>Collection routes Kinshasa</t>
  </si>
  <si>
    <t>CEO SUV</t>
  </si>
  <si>
    <t>1</t>
  </si>
  <si>
    <t>150 L/mo</t>
  </si>
  <si>
    <t>DG SUV (Managing Director)</t>
  </si>
  <si>
    <t>Daily site + meetings</t>
  </si>
  <si>
    <t>CTO SUV</t>
  </si>
  <si>
    <t>120 L/mo</t>
  </si>
  <si>
    <t>Plant-focused</t>
  </si>
  <si>
    <t>CCO SUV</t>
  </si>
  <si>
    <t>180 L/mo</t>
  </si>
  <si>
    <t>Client visits</t>
  </si>
  <si>
    <t>Utility</t>
  </si>
  <si>
    <t>Utility trucks</t>
  </si>
  <si>
    <t>2</t>
  </si>
  <si>
    <t>150 L/mo each</t>
  </si>
  <si>
    <t>Internal delivery</t>
  </si>
  <si>
    <t>Diesel for generators</t>
  </si>
  <si>
    <t>Backup 30%</t>
  </si>
  <si>
    <t>See electricity tab</t>
  </si>
  <si>
    <t>Cost included in electricity blended rate</t>
  </si>
  <si>
    <t>TOTAL VEHICLE FUEL</t>
  </si>
  <si>
    <t>Excludes generator diesel</t>
  </si>
  <si>
    <t>ANNUAL UTILITY COSTS SUMMARY (100% capacity)</t>
  </si>
  <si>
    <t>TOTAL ANNUAL UTILITIES</t>
  </si>
  <si>
    <t>MONTHLY BASELINES (at 100% capacity)</t>
  </si>
  <si>
    <t>Monthly OPEX at 100%</t>
  </si>
  <si>
    <t>Monthly core revenue at 100%</t>
  </si>
  <si>
    <t>OPEX floor (setup months @ 0% capacity)</t>
  </si>
  <si>
    <t>14% = minimum cost ratio during setup (HR+admin before production)</t>
  </si>
  <si>
    <t>Month</t>
  </si>
  <si>
    <t>Cap%</t>
  </si>
  <si>
    <t>OPEX ($)</t>
  </si>
  <si>
    <t>Revenue ($)</t>
  </si>
  <si>
    <t>Net ($)</t>
  </si>
  <si>
    <t>Cumulative ($)</t>
  </si>
  <si>
    <t>Milestone</t>
  </si>
  <si>
    <t>SETUP</t>
  </si>
  <si>
    <t>Company registration, exec team hired</t>
  </si>
  <si>
    <t>1st truck, collection pilot launch</t>
  </si>
  <si>
    <t>COLLECT</t>
  </si>
  <si>
    <t>10-15t/d, raw resale</t>
  </si>
  <si>
    <t>20t/d, land closing</t>
  </si>
  <si>
    <t>25t/d, construction starts</t>
  </si>
  <si>
    <t>4 trucks ordered, container en route</t>
  </si>
  <si>
    <t>M7</t>
  </si>
  <si>
    <t>INSTALL</t>
  </si>
  <si>
    <t>Container arrives, installation 17d</t>
  </si>
  <si>
    <t>3 FLUX</t>
  </si>
  <si>
    <t>★ 3 FLUX OPERATIONAL</t>
  </si>
  <si>
    <t>M9</t>
  </si>
  <si>
    <t>Ramp 25%</t>
  </si>
  <si>
    <t>35%, CFO joins</t>
  </si>
  <si>
    <t>M11</t>
  </si>
  <si>
    <t>42%</t>
  </si>
  <si>
    <t>★ MONTHLY EBITDA POSITIVE</t>
  </si>
  <si>
    <t>M13</t>
  </si>
  <si>
    <t>RAMP</t>
  </si>
  <si>
    <t>52%, CCO operational</t>
  </si>
  <si>
    <t>M14</t>
  </si>
  <si>
    <t>55%</t>
  </si>
  <si>
    <t>M15</t>
  </si>
  <si>
    <t>58%, ISO initiated</t>
  </si>
  <si>
    <t>M16</t>
  </si>
  <si>
    <t>62%</t>
  </si>
  <si>
    <t>M17</t>
  </si>
  <si>
    <t>66%</t>
  </si>
  <si>
    <t>M18</t>
  </si>
  <si>
    <t>★ 70%, Gold Standard filed</t>
  </si>
  <si>
    <t>M19</t>
  </si>
  <si>
    <t>CRUISE</t>
  </si>
  <si>
    <t>74%</t>
  </si>
  <si>
    <t>M20</t>
  </si>
  <si>
    <t>78%</t>
  </si>
  <si>
    <t>M21</t>
  </si>
  <si>
    <t>82%, LNBTP cert</t>
  </si>
  <si>
    <t>M22</t>
  </si>
  <si>
    <t>86%</t>
  </si>
  <si>
    <t>M23</t>
  </si>
  <si>
    <t>90%</t>
  </si>
  <si>
    <t>★ 95% nominal reached</t>
  </si>
  <si>
    <t>WORKING CAPITAL ANALYSIS (all formulas — fully dynamic)</t>
  </si>
  <si>
    <t>Project Profile</t>
  </si>
  <si>
    <t>Typical Safety Factor</t>
  </si>
  <si>
    <t>Exemple</t>
  </si>
  <si>
    <t>Peak negative cash</t>
  </si>
  <si>
    <t>Tech SaaS</t>
  </si>
  <si>
    <t>3-5x</t>
  </si>
  <si>
    <t>Predictable cashflow</t>
  </si>
  <si>
    <t>Safety Factor</t>
  </si>
  <si>
    <t>Covers worst-case cash shortfall for DRC operational risks</t>
  </si>
  <si>
    <t>Industrial France</t>
  </si>
  <si>
    <t>8-12x</t>
  </si>
  <si>
    <t>Controlled logistics</t>
  </si>
  <si>
    <t>Budgeted WC</t>
  </si>
  <si>
    <t>Emerging Africa</t>
  </si>
  <si>
    <t>15-25x</t>
  </si>
  <si>
    <t>Opportunity/currency risks</t>
  </si>
  <si>
    <t>Safety margin</t>
  </si>
  <si>
    <t>WC minus |Peak|</t>
  </si>
  <si>
    <t>TakaPlast choice</t>
  </si>
  <si>
    <t>Pyrolysis + energy</t>
  </si>
  <si>
    <t>Safety margin %</t>
  </si>
  <si>
    <t>Target: &gt;100% above peak</t>
  </si>
  <si>
    <t>NOTE: All values in this tab are formula-driven. Change Assumptions (ramp rates, prices, consumption) or OPEX_Operations and this tab updates automatically. From M12: EBITDA positive monthly. Plant self-financing from Year 2.</t>
  </si>
  <si>
    <t>Vol Yr3</t>
  </si>
  <si>
    <t>Price</t>
  </si>
  <si>
    <t>Margin</t>
  </si>
  <si>
    <t>CORE REVENUE (at 100% = Assumptions B40-B42, scaled by ramp B30-B34)</t>
  </si>
  <si>
    <t>11,077t/yr</t>
  </si>
  <si>
    <t>$650/t</t>
  </si>
  <si>
    <t>Based on Assumptions ramp rate</t>
  </si>
  <si>
    <t>Plastic-cement pavers</t>
  </si>
  <si>
    <t>276,000m²/yr</t>
  </si>
  <si>
    <t>$10/m²</t>
  </si>
  <si>
    <t>LPG / Syngas</t>
  </si>
  <si>
    <t>2.4M L/yr</t>
  </si>
  <si>
    <t>$0.85/L</t>
  </si>
  <si>
    <t>Subtotal Core</t>
  </si>
  <si>
    <t>COMPLEMENTARY REVENUE (probability-weighted, NOT in base payback)</t>
  </si>
  <si>
    <t>Carbon credits (Gold Standard)</t>
  </si>
  <si>
    <t>15K→55K tCO2eq scaling</t>
  </si>
  <si>
    <t>Yr3: 15K tCO2 (conservative). Yr4: 35K. Yr5: 55,080 (full 50t/d impact = 55K tCO2eq/yr)</t>
  </si>
  <si>
    <t>Tipping fees</t>
  </si>
  <si>
    <t>~5,000t×$50/t</t>
  </si>
  <si>
    <t>Bralima, EGMF — starts M14</t>
  </si>
  <si>
    <t>Export pellets (Congo-Brazza)</t>
  </si>
  <si>
    <t>750t×$800/t FOB</t>
  </si>
  <si>
    <t>ISO 9001 prerequisite</t>
  </si>
  <si>
    <t>Training + Consulting</t>
  </si>
  <si>
    <t>INPP partnership</t>
  </si>
  <si>
    <t>Franchise intra-Congo</t>
  </si>
  <si>
    <t>$25K + 5% CA royalties</t>
  </si>
  <si>
    <t>Requires 2-year track record</t>
  </si>
  <si>
    <t>Subtotal Complementary</t>
  </si>
  <si>
    <t>TOTAL REVENUE (core + complementary)</t>
  </si>
  <si>
    <t>SIMPLIFIED P&amp;L (5-year view)</t>
  </si>
  <si>
    <t>Revenue (core only)</t>
  </si>
  <si>
    <t>Total OPEX</t>
  </si>
  <si>
    <t>EBITDA (core)</t>
  </si>
  <si>
    <t>EBITDA margin %</t>
  </si>
  <si>
    <t>Org</t>
  </si>
  <si>
    <t>Program</t>
  </si>
  <si>
    <t>Max ($)</t>
  </si>
  <si>
    <t>Criteria</t>
  </si>
  <si>
    <t>Prob.</t>
  </si>
  <si>
    <t>Window</t>
  </si>
  <si>
    <t>Time</t>
  </si>
  <si>
    <t>Status</t>
  </si>
  <si>
    <t>INTERNATIONAL</t>
  </si>
  <si>
    <t>AfDB</t>
  </si>
  <si>
    <t>Circular economy</t>
  </si>
  <si>
    <t>Clean tech, EIA</t>
  </si>
  <si>
    <t>60%</t>
  </si>
  <si>
    <t>M6-M12</t>
  </si>
  <si>
    <t>12-18mo</t>
  </si>
  <si>
    <t>To file</t>
  </si>
  <si>
    <t>UNDP</t>
  </si>
  <si>
    <t>Waste Kinshasa</t>
  </si>
  <si>
    <t>SDG 11-13</t>
  </si>
  <si>
    <t>70%</t>
  </si>
  <si>
    <t>M4-M10</t>
  </si>
  <si>
    <t>6-12mo</t>
  </si>
  <si>
    <t>Priority</t>
  </si>
  <si>
    <t>AFD</t>
  </si>
  <si>
    <t>Priv. sector innov.</t>
  </si>
  <si>
    <t>Sustainable dev</t>
  </si>
  <si>
    <t>M8-M14</t>
  </si>
  <si>
    <t>EU</t>
  </si>
  <si>
    <t>Green Deal C.Africa</t>
  </si>
  <si>
    <t>Pilot grant</t>
  </si>
  <si>
    <t>40%</t>
  </si>
  <si>
    <t>M12-M24</t>
  </si>
  <si>
    <t>GCF</t>
  </si>
  <si>
    <t>Climate adapt.</t>
  </si>
  <si>
    <t>Via ministry</t>
  </si>
  <si>
    <t>35%</t>
  </si>
  <si>
    <t>M6-M18</t>
  </si>
  <si>
    <t>18-24mo</t>
  </si>
  <si>
    <t>Long-term</t>
  </si>
  <si>
    <t>Gates</t>
  </si>
  <si>
    <t>Urban Health</t>
  </si>
  <si>
    <t>Waste-health</t>
  </si>
  <si>
    <t>25%</t>
  </si>
  <si>
    <t>Exploratory</t>
  </si>
  <si>
    <t>WB/IFC</t>
  </si>
  <si>
    <t>Green SME</t>
  </si>
  <si>
    <t>Green Economy</t>
  </si>
  <si>
    <t>M8-M18</t>
  </si>
  <si>
    <t>Explore</t>
  </si>
  <si>
    <t>Subtotal Intl</t>
  </si>
  <si>
    <t>FRENCH</t>
  </si>
  <si>
    <t>BPI</t>
  </si>
  <si>
    <t>Innovation/export</t>
  </si>
  <si>
    <t>FR entity</t>
  </si>
  <si>
    <t>45%</t>
  </si>
  <si>
    <t>6-9mo</t>
  </si>
  <si>
    <t>ADEME</t>
  </si>
  <si>
    <t>Intl circular econ.</t>
  </si>
  <si>
    <t>Recycling, CO2</t>
  </si>
  <si>
    <t>9-12mo</t>
  </si>
  <si>
    <t>FASEP</t>
  </si>
  <si>
    <t>Feasibility</t>
  </si>
  <si>
    <t>Demonstrator</t>
  </si>
  <si>
    <t>50%</t>
  </si>
  <si>
    <t>Proparco</t>
  </si>
  <si>
    <t>Priv.sector</t>
  </si>
  <si>
    <t>Co-investment</t>
  </si>
  <si>
    <t>M10-M18</t>
  </si>
  <si>
    <t>Subtotal French</t>
  </si>
  <si>
    <t>CONGOLESE</t>
  </si>
  <si>
    <t>CPS (Crédit Pays Solution)</t>
  </si>
  <si>
    <t>National program</t>
  </si>
  <si>
    <t>Industrial dev.</t>
  </si>
  <si>
    <t>Research</t>
  </si>
  <si>
    <t>FPI</t>
  </si>
  <si>
    <t>SME support</t>
  </si>
  <si>
    <t>Local Industry</t>
  </si>
  <si>
    <t>M4-M8</t>
  </si>
  <si>
    <t>3-6mo</t>
  </si>
  <si>
    <t>Kinshasa prov.</t>
  </si>
  <si>
    <t>Sanitation</t>
  </si>
  <si>
    <t>Waste, youth</t>
  </si>
  <si>
    <t>Subtotal Congolese</t>
  </si>
  <si>
    <t>TOTAL POTENTIAL SUBSIDIES</t>
  </si>
  <si>
    <t xml:space="preserve">NOTE: Subsidies NOT included in payback/ROI. If awarded = upside for investors.			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</si>
</sst>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\$#,##0.000"/>
  </numFmts>
  <fonts count="14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4"/>
      <color rgb="FFFFFFFF"/>
      <name val="Arial"/>
      <charset val="1"/>
    </font>
    <font>
      <i/>
      <sz val="9"/>
      <color theme="1" tint="0.499984740745262"/>
      <name val="Calibri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0"/>
      <name val="Arial"/>
      <family val="2"/>
      <charset val="1"/>
    </font>
    <font>
      <u/>
      <sz val="11"/>
      <color theme="1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C000"/>
        <bgColor rgb="FFF79646"/>
      </patternFill>
    </fill>
    <fill>
      <patternFill patternType="solid">
        <fgColor rgb="FFD6E4F0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1F4E79"/>
        <bgColor rgb="FF555555"/>
      </patternFill>
    </fill>
    <fill>
      <patternFill patternType="solid">
        <fgColor rgb="FFFFF2CC"/>
        <bgColor rgb="FFFFFFCC"/>
      </patternFill>
    </fill>
    <fill>
      <patternFill patternType="solid">
        <fgColor rgb="FFC00000"/>
        <bgColor rgb="FF800000"/>
      </patternFill>
    </fill>
    <fill>
      <patternFill patternType="solid">
        <fgColor rgb="FFC6EFCE"/>
        <bgColor rgb="FFD6E4F0"/>
      </patternFill>
    </fill>
    <fill>
      <patternFill patternType="solid">
        <fgColor rgb="FFFFC000"/>
        <bgColor rgb="FFFF9900"/>
      </patternFill>
    </fill>
    <fill>
      <patternFill patternType="solid">
        <fgColor rgb="FFD6E4F0"/>
        <bgColor rgb="FFC6EFCE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164" fontId="4" fillId="3" borderId="1" xfId="0" applyNumberFormat="1" applyFont="1" applyFill="1" applyBorder="1"/>
    <xf numFmtId="164" fontId="4" fillId="0" borderId="1" xfId="0" applyNumberFormat="1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left" vertical="center" wrapText="1"/>
    </xf>
    <xf numFmtId="166" fontId="7" fillId="5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/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164" fontId="8" fillId="8" borderId="1" xfId="0" applyNumberFormat="1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right" vertical="center"/>
    </xf>
    <xf numFmtId="3" fontId="2" fillId="0" borderId="1" xfId="0" applyNumberFormat="1" applyFont="1" applyBorder="1"/>
    <xf numFmtId="2" fontId="2" fillId="0" borderId="1" xfId="0" applyNumberFormat="1" applyFont="1" applyBorder="1"/>
    <xf numFmtId="164" fontId="6" fillId="7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/>
    </xf>
    <xf numFmtId="164" fontId="6" fillId="3" borderId="1" xfId="0" applyNumberFormat="1" applyFont="1" applyFill="1" applyBorder="1" applyAlignment="1">
      <alignment horizontal="right" vertical="center"/>
    </xf>
    <xf numFmtId="0" fontId="0" fillId="0" borderId="1" xfId="0" applyFont="1" applyBorder="1"/>
    <xf numFmtId="3" fontId="0" fillId="0" borderId="1" xfId="0" applyNumberFormat="1" applyBorder="1"/>
    <xf numFmtId="164" fontId="0" fillId="0" borderId="1" xfId="0" applyNumberFormat="1" applyBorder="1"/>
    <xf numFmtId="3" fontId="6" fillId="7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4" fontId="4" fillId="5" borderId="1" xfId="0" applyNumberFormat="1" applyFont="1" applyFill="1" applyBorder="1"/>
    <xf numFmtId="166" fontId="7" fillId="5" borderId="1" xfId="0" applyNumberFormat="1" applyFont="1" applyFill="1" applyBorder="1"/>
    <xf numFmtId="0" fontId="3" fillId="0" borderId="1" xfId="0" applyFont="1" applyBorder="1"/>
    <xf numFmtId="164" fontId="6" fillId="4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166" fontId="4" fillId="9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/>
    <xf numFmtId="9" fontId="2" fillId="0" borderId="1" xfId="0" applyNumberFormat="1" applyFont="1" applyBorder="1"/>
    <xf numFmtId="0" fontId="9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" fontId="6" fillId="3" borderId="1" xfId="0" applyNumberFormat="1" applyFont="1" applyFill="1" applyBorder="1" applyAlignment="1">
      <alignment horizontal="right" vertical="center"/>
    </xf>
    <xf numFmtId="10" fontId="0" fillId="0" borderId="0" xfId="0" applyNumberFormat="1"/>
    <xf numFmtId="0" fontId="10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0" fillId="12" borderId="5" xfId="0" applyFont="1" applyFill="1" applyBorder="1" applyAlignment="1">
      <alignment vertical="center"/>
    </xf>
    <xf numFmtId="0" fontId="10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center" vertical="center"/>
    </xf>
    <xf numFmtId="10" fontId="7" fillId="5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6" fillId="4" borderId="1" xfId="0" applyFont="1" applyFill="1" applyBorder="1" applyAlignment="1"/>
    <xf numFmtId="0" fontId="3" fillId="0" borderId="1" xfId="0" applyFont="1" applyBorder="1" applyAlignment="1">
      <alignment horizontal="left" vertical="center" wrapText="1"/>
    </xf>
    <xf numFmtId="164" fontId="2" fillId="0" borderId="6" xfId="0" applyNumberFormat="1" applyFont="1" applyBorder="1"/>
    <xf numFmtId="164" fontId="2" fillId="0" borderId="7" xfId="0" applyNumberFormat="1" applyFont="1" applyBorder="1"/>
    <xf numFmtId="0" fontId="1" fillId="2" borderId="1" xfId="0" applyFont="1" applyFill="1" applyBorder="1" applyAlignment="1"/>
    <xf numFmtId="0" fontId="2" fillId="0" borderId="0" xfId="0" applyFont="1" applyAlignment="1">
      <alignment vertical="top" wrapText="1"/>
    </xf>
    <xf numFmtId="0" fontId="6" fillId="4" borderId="1" xfId="0" applyFont="1" applyFill="1" applyBorder="1" applyAlignment="1"/>
    <xf numFmtId="0" fontId="6" fillId="4" borderId="2" xfId="0" applyFont="1" applyFill="1" applyBorder="1" applyAlignment="1"/>
    <xf numFmtId="0" fontId="6" fillId="4" borderId="3" xfId="0" applyFont="1" applyFill="1" applyBorder="1" applyAlignment="1"/>
    <xf numFmtId="0" fontId="6" fillId="4" borderId="4" xfId="0" applyFont="1" applyFill="1" applyBorder="1" applyAlignment="1"/>
    <xf numFmtId="0" fontId="6" fillId="11" borderId="1" xfId="0" applyFont="1" applyFill="1" applyBorder="1" applyAlignment="1"/>
    <xf numFmtId="0" fontId="3" fillId="0" borderId="1" xfId="0" applyFont="1" applyBorder="1" applyAlignment="1">
      <alignment horizontal="left" vertical="center" wrapText="1"/>
    </xf>
    <xf numFmtId="0" fontId="13" fillId="0" borderId="1" xfId="1" applyBorder="1"/>
    <xf numFmtId="0" fontId="13" fillId="0" borderId="1" xfId="1" applyBorder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C0C0C0"/>
      <rgbColor rgb="FF4F81BD"/>
      <rgbColor rgb="FF9999FF"/>
      <rgbColor rgb="FFC0504D"/>
      <rgbColor rgb="FFFFFFCC"/>
      <rgbColor rgb="FFD6E4F0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2CC"/>
      <rgbColor rgb="FF99CCFF"/>
      <rgbColor rgb="FFFF99CC"/>
      <rgbColor rgb="FFCC99FF"/>
      <rgbColor rgb="FFFFCC99"/>
      <rgbColor rgb="FF4472C4"/>
      <rgbColor rgb="FF4BACC6"/>
      <rgbColor rgb="FF9BBB59"/>
      <rgbColor rgb="FFFFC000"/>
      <rgbColor rgb="FFF79646"/>
      <rgbColor rgb="FFFF6600"/>
      <rgbColor rgb="FF8064A2"/>
      <rgbColor rgb="FFA5A5A5"/>
      <rgbColor rgb="FF002060"/>
      <rgbColor rgb="FF00B050"/>
      <rgbColor rgb="FF003300"/>
      <rgbColor rgb="FF333300"/>
      <rgbColor rgb="FF993300"/>
      <rgbColor rgb="FF993366"/>
      <rgbColor rgb="FF1F4E7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 3 Revenue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B84-4EA4-9C87-CE0FDA4AE79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B84-4EA4-9C87-CE0FDA4AE79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B84-4EA4-9C87-CE0FDA4AE79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B84-4EA4-9C87-CE0FDA4AE792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B84-4EA4-9C87-CE0FDA4AE792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2B84-4EA4-9C87-CE0FDA4AE7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84-4EA4-9C87-CE0FDA4AE7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84-4EA4-9C87-CE0FDA4AE7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84-4EA4-9C87-CE0FDA4AE79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84-4EA4-9C87-CE0FDA4AE79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84-4EA4-9C87-CE0FDA4AE79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B84-4EA4-9C87-CE0FDA4AE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Summary!$A$53:$A$58</c:f>
              <c:strCache>
                <c:ptCount val="6"/>
                <c:pt idx="0">
                  <c:v>HDPE/PP Pellets</c:v>
                </c:pt>
                <c:pt idx="1">
                  <c:v>BTP Pavers</c:v>
                </c:pt>
                <c:pt idx="2">
                  <c:v>LPG/Syngas</c:v>
                </c:pt>
                <c:pt idx="3">
                  <c:v>Carbon Credits</c:v>
                </c:pt>
                <c:pt idx="4">
                  <c:v>Tipping Fees</c:v>
                </c:pt>
                <c:pt idx="5">
                  <c:v>Other Complementary</c:v>
                </c:pt>
              </c:strCache>
            </c:strRef>
          </c:cat>
          <c:val>
            <c:numRef>
              <c:f>Summary!$B$53:$B$58</c:f>
              <c:numCache>
                <c:formatCode>\$#,##0</c:formatCode>
                <c:ptCount val="6"/>
                <c:pt idx="0">
                  <c:v>6984000</c:v>
                </c:pt>
                <c:pt idx="1">
                  <c:v>2677200</c:v>
                </c:pt>
                <c:pt idx="2">
                  <c:v>1978800</c:v>
                </c:pt>
                <c:pt idx="3">
                  <c:v>420750</c:v>
                </c:pt>
                <c:pt idx="4">
                  <c:v>242500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84-4EA4-9C87-CE0FDA4AE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2</xdr:col>
      <xdr:colOff>1002915</xdr:colOff>
      <xdr:row>81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patrick-kahasha-mbasha-1a177323/" TargetMode="External"/><Relationship Id="rId3" Type="http://schemas.openxmlformats.org/officeDocument/2006/relationships/hyperlink" Target="https://www.linkedin.com/in/etienne-titi-bakadisansa-62136340/" TargetMode="External"/><Relationship Id="rId7" Type="http://schemas.openxmlformats.org/officeDocument/2006/relationships/hyperlink" Target="https://www.linkedin.com/in/serge-tshishimbi-2b3396140/" TargetMode="External"/><Relationship Id="rId2" Type="http://schemas.openxmlformats.org/officeDocument/2006/relationships/hyperlink" Target="https://www.linkedin.com/in/augustin-mbongu-1a3384235/" TargetMode="External"/><Relationship Id="rId1" Type="http://schemas.openxmlformats.org/officeDocument/2006/relationships/hyperlink" Target="https://www.linkedin.com/in/serge-bazola-ndelo-59551941/" TargetMode="External"/><Relationship Id="rId6" Type="http://schemas.openxmlformats.org/officeDocument/2006/relationships/hyperlink" Target="https://www.linkedin.com/in/aurorejoncour/" TargetMode="External"/><Relationship Id="rId5" Type="http://schemas.openxmlformats.org/officeDocument/2006/relationships/hyperlink" Target="https://www.linkedin.com/in/sarahmukonga91/" TargetMode="External"/><Relationship Id="rId10" Type="http://schemas.openxmlformats.org/officeDocument/2006/relationships/hyperlink" Target="https://www.linkedin.com/in/jiry-ngoma-b4872a143/" TargetMode="External"/><Relationship Id="rId4" Type="http://schemas.openxmlformats.org/officeDocument/2006/relationships/hyperlink" Target="https://www.linkedin.com/in/choudhary-muhammad-aamir-saeed-8b45a250/" TargetMode="External"/><Relationship Id="rId9" Type="http://schemas.openxmlformats.org/officeDocument/2006/relationships/hyperlink" Target="https://www.linkedin.com/in/joeloxy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C90"/>
  <sheetViews>
    <sheetView zoomScaleNormal="100" workbookViewId="0">
      <selection activeCell="B5" sqref="B5"/>
    </sheetView>
  </sheetViews>
  <sheetFormatPr defaultColWidth="8.7109375" defaultRowHeight="15"/>
  <cols>
    <col min="1" max="1" width="48" customWidth="1"/>
    <col min="2" max="2" width="30.140625" customWidth="1"/>
    <col min="3" max="3" width="50" customWidth="1"/>
  </cols>
  <sheetData>
    <row r="1" spans="1:3">
      <c r="A1" s="79" t="s">
        <v>0</v>
      </c>
      <c r="B1" s="79"/>
      <c r="C1" s="79"/>
    </row>
    <row r="3" spans="1:3">
      <c r="A3" s="79" t="s">
        <v>1</v>
      </c>
      <c r="B3" s="79"/>
      <c r="C3" s="79"/>
    </row>
    <row r="4" spans="1:3">
      <c r="A4" s="1" t="s">
        <v>2</v>
      </c>
      <c r="B4" s="2">
        <f>CAPEX_Consolidated!B17</f>
        <v>6179129.5999999996</v>
      </c>
      <c r="C4" s="3"/>
    </row>
    <row r="5" spans="1:3">
      <c r="A5" s="1" t="s">
        <v>3</v>
      </c>
      <c r="B5" s="2">
        <f>CAPEX_Consolidated!B19</f>
        <v>2360476.8833333338</v>
      </c>
      <c r="C5" s="3" t="s">
        <v>4</v>
      </c>
    </row>
    <row r="6" spans="1:3">
      <c r="A6" s="4" t="s">
        <v>5</v>
      </c>
      <c r="B6" s="5">
        <f>CAPEX_Consolidated!B20</f>
        <v>8539606.4833333343</v>
      </c>
      <c r="C6" s="3" t="s">
        <v>6</v>
      </c>
    </row>
    <row r="8" spans="1:3">
      <c r="A8" s="79" t="s">
        <v>7</v>
      </c>
      <c r="B8" s="79"/>
      <c r="C8" s="79"/>
    </row>
    <row r="9" spans="1:3">
      <c r="A9" s="1" t="s">
        <v>8</v>
      </c>
      <c r="B9" s="1" t="s">
        <v>9</v>
      </c>
      <c r="C9" s="3" t="s">
        <v>10</v>
      </c>
    </row>
    <row r="10" spans="1:3">
      <c r="A10" s="1" t="s">
        <v>11</v>
      </c>
      <c r="B10" s="1" t="s">
        <v>12</v>
      </c>
      <c r="C10" s="3" t="s">
        <v>13</v>
      </c>
    </row>
    <row r="11" spans="1:3">
      <c r="A11" s="1" t="s">
        <v>14</v>
      </c>
      <c r="B11" s="1" t="s">
        <v>15</v>
      </c>
      <c r="C11" s="3" t="s">
        <v>16</v>
      </c>
    </row>
    <row r="12" spans="1:3">
      <c r="A12" s="1" t="s">
        <v>17</v>
      </c>
      <c r="B12" s="1" t="s">
        <v>18</v>
      </c>
      <c r="C12" s="3" t="s">
        <v>19</v>
      </c>
    </row>
    <row r="13" spans="1:3">
      <c r="A13" s="1" t="s">
        <v>20</v>
      </c>
      <c r="B13" s="1" t="s">
        <v>21</v>
      </c>
      <c r="C13" s="3" t="s">
        <v>22</v>
      </c>
    </row>
    <row r="14" spans="1:3">
      <c r="A14" s="1" t="s">
        <v>23</v>
      </c>
      <c r="B14" s="1" t="s">
        <v>24</v>
      </c>
      <c r="C14" s="3"/>
    </row>
    <row r="15" spans="1:3">
      <c r="A15" s="1" t="s">
        <v>25</v>
      </c>
      <c r="B15" s="1" t="s">
        <v>26</v>
      </c>
      <c r="C15" s="3" t="s">
        <v>27</v>
      </c>
    </row>
    <row r="17" spans="1:3">
      <c r="A17" s="79" t="s">
        <v>28</v>
      </c>
      <c r="B17" s="79"/>
      <c r="C17" s="79"/>
    </row>
    <row r="18" spans="1:3">
      <c r="A18" s="1" t="s">
        <v>29</v>
      </c>
      <c r="B18" s="2">
        <f>Revenue!E6</f>
        <v>1800000</v>
      </c>
      <c r="C18" s="3"/>
    </row>
    <row r="19" spans="1:3">
      <c r="A19" s="1" t="s">
        <v>30</v>
      </c>
      <c r="B19" s="2">
        <f>Revenue!F6</f>
        <v>9480000</v>
      </c>
      <c r="C19" s="3"/>
    </row>
    <row r="20" spans="1:3">
      <c r="A20" s="1" t="s">
        <v>31</v>
      </c>
      <c r="B20" s="2">
        <f>Revenue!G6</f>
        <v>11640000</v>
      </c>
      <c r="C20" s="3" t="s">
        <v>32</v>
      </c>
    </row>
    <row r="21" spans="1:3">
      <c r="A21" s="1" t="s">
        <v>33</v>
      </c>
      <c r="B21" s="2">
        <f>Revenue!H6</f>
        <v>12000000</v>
      </c>
      <c r="C21" s="3"/>
    </row>
    <row r="22" spans="1:3">
      <c r="A22" s="1" t="s">
        <v>34</v>
      </c>
      <c r="B22" s="2">
        <f>Revenue!I6</f>
        <v>12000000</v>
      </c>
      <c r="C22" s="3"/>
    </row>
    <row r="23" spans="1:3">
      <c r="A23" s="1"/>
      <c r="B23" s="1"/>
      <c r="C23" s="3"/>
    </row>
    <row r="24" spans="1:3">
      <c r="A24" s="1" t="s">
        <v>35</v>
      </c>
      <c r="B24" s="2">
        <f>OPEX_Operations!D53</f>
        <v>1837139</v>
      </c>
      <c r="C24" s="3"/>
    </row>
    <row r="25" spans="1:3">
      <c r="A25" s="1" t="s">
        <v>36</v>
      </c>
      <c r="B25" s="2">
        <f>OPEX_Operations!E53</f>
        <v>3365468.6</v>
      </c>
      <c r="C25" s="3"/>
    </row>
    <row r="26" spans="1:3">
      <c r="A26" s="1" t="s">
        <v>37</v>
      </c>
      <c r="B26" s="2">
        <f>OPEX_Operations!F53</f>
        <v>4046531.8000000003</v>
      </c>
      <c r="C26" s="3"/>
    </row>
    <row r="27" spans="1:3">
      <c r="A27" s="1" t="s">
        <v>38</v>
      </c>
      <c r="B27" s="2">
        <f>OPEX_Operations!G53</f>
        <v>4098000</v>
      </c>
      <c r="C27" s="3"/>
    </row>
    <row r="28" spans="1:3">
      <c r="A28" s="1" t="s">
        <v>39</v>
      </c>
      <c r="B28" s="2">
        <f>OPEX_Operations!H53</f>
        <v>4118000</v>
      </c>
      <c r="C28" s="3"/>
    </row>
    <row r="29" spans="1:3">
      <c r="A29" s="1"/>
      <c r="B29" s="1"/>
      <c r="C29" s="3"/>
    </row>
    <row r="30" spans="1:3">
      <c r="A30" s="1" t="s">
        <v>40</v>
      </c>
      <c r="B30" s="2">
        <f>Revenue!E21</f>
        <v>-37139</v>
      </c>
      <c r="C30" s="3"/>
    </row>
    <row r="31" spans="1:3">
      <c r="A31" s="1" t="s">
        <v>41</v>
      </c>
      <c r="B31" s="2">
        <f>Revenue!F21</f>
        <v>6114531.4000000004</v>
      </c>
      <c r="C31" s="3"/>
    </row>
    <row r="32" spans="1:3">
      <c r="A32" s="1" t="s">
        <v>42</v>
      </c>
      <c r="B32" s="2">
        <f>Revenue!G21</f>
        <v>7593468.1999999993</v>
      </c>
      <c r="C32" s="3" t="s">
        <v>32</v>
      </c>
    </row>
    <row r="33" spans="1:3">
      <c r="A33" s="1" t="s">
        <v>43</v>
      </c>
      <c r="B33" s="2">
        <f>Revenue!H21</f>
        <v>7902000</v>
      </c>
      <c r="C33" s="3"/>
    </row>
    <row r="34" spans="1:3">
      <c r="A34" s="1" t="s">
        <v>44</v>
      </c>
      <c r="B34" s="2">
        <f>Revenue!I21</f>
        <v>7882000</v>
      </c>
      <c r="C34" s="3"/>
    </row>
    <row r="35" spans="1:3">
      <c r="A35" s="1" t="s">
        <v>45</v>
      </c>
      <c r="B35" s="1" t="s">
        <v>46</v>
      </c>
      <c r="C35" s="3"/>
    </row>
    <row r="37" spans="1:3">
      <c r="A37" s="79" t="s">
        <v>47</v>
      </c>
      <c r="B37" s="79"/>
      <c r="C37" s="79"/>
    </row>
    <row r="38" spans="1:3">
      <c r="A38" s="1" t="s">
        <v>48</v>
      </c>
      <c r="B38" s="2">
        <f>Revenue!E14</f>
        <v>0</v>
      </c>
      <c r="C38" s="3"/>
    </row>
    <row r="39" spans="1:3">
      <c r="A39" s="1" t="s">
        <v>49</v>
      </c>
      <c r="B39" s="2">
        <f>Revenue!F14</f>
        <v>197500</v>
      </c>
      <c r="C39" s="3"/>
    </row>
    <row r="40" spans="1:3">
      <c r="A40" s="1" t="s">
        <v>50</v>
      </c>
      <c r="B40" s="2">
        <f>Revenue!G14</f>
        <v>663250</v>
      </c>
      <c r="C40" s="3"/>
    </row>
    <row r="41" spans="1:3">
      <c r="A41" s="1" t="s">
        <v>51</v>
      </c>
      <c r="B41" s="2">
        <f>Revenue!H14</f>
        <v>2031750</v>
      </c>
      <c r="C41" s="3"/>
    </row>
    <row r="42" spans="1:3">
      <c r="A42" s="1" t="s">
        <v>52</v>
      </c>
      <c r="B42" s="2">
        <f>Revenue!I14</f>
        <v>3344994</v>
      </c>
      <c r="C42" s="3"/>
    </row>
    <row r="43" spans="1:3">
      <c r="A43" s="1"/>
      <c r="B43" s="1"/>
      <c r="C43" s="3"/>
    </row>
    <row r="44" spans="1:3">
      <c r="A44" s="1" t="s">
        <v>53</v>
      </c>
      <c r="B44" s="2">
        <f>Revenue!E16</f>
        <v>1800000</v>
      </c>
      <c r="C44" s="3"/>
    </row>
    <row r="45" spans="1:3">
      <c r="A45" s="1" t="s">
        <v>54</v>
      </c>
      <c r="B45" s="2">
        <f>Revenue!F16</f>
        <v>9677500</v>
      </c>
      <c r="C45" s="3"/>
    </row>
    <row r="46" spans="1:3">
      <c r="A46" s="4" t="s">
        <v>55</v>
      </c>
      <c r="B46" s="6">
        <f>Revenue!G16</f>
        <v>12303250</v>
      </c>
      <c r="C46" s="3"/>
    </row>
    <row r="47" spans="1:3">
      <c r="A47" s="4" t="s">
        <v>56</v>
      </c>
      <c r="B47" s="6">
        <f>Revenue!H16</f>
        <v>14031750</v>
      </c>
      <c r="C47" s="3"/>
    </row>
    <row r="48" spans="1:3">
      <c r="A48" s="4" t="s">
        <v>57</v>
      </c>
      <c r="B48" s="6">
        <f>Revenue!I16</f>
        <v>15344994</v>
      </c>
      <c r="C48" s="3"/>
    </row>
    <row r="51" spans="1:3">
      <c r="A51" s="79" t="s">
        <v>58</v>
      </c>
      <c r="B51" s="79"/>
      <c r="C51" s="79"/>
    </row>
    <row r="52" spans="1:3">
      <c r="A52" s="7" t="s">
        <v>59</v>
      </c>
      <c r="B52" s="7" t="s">
        <v>60</v>
      </c>
    </row>
    <row r="53" spans="1:3">
      <c r="A53" t="s">
        <v>61</v>
      </c>
      <c r="B53" s="2">
        <f>Revenue!G3</f>
        <v>6984000</v>
      </c>
    </row>
    <row r="54" spans="1:3">
      <c r="A54" t="s">
        <v>62</v>
      </c>
      <c r="B54" s="2">
        <f>Revenue!G4</f>
        <v>2677200</v>
      </c>
    </row>
    <row r="55" spans="1:3">
      <c r="A55" t="s">
        <v>63</v>
      </c>
      <c r="B55" s="2">
        <f>Revenue!G5</f>
        <v>1978800</v>
      </c>
    </row>
    <row r="56" spans="1:3">
      <c r="A56" t="s">
        <v>64</v>
      </c>
      <c r="B56" s="2">
        <f>Revenue!G9</f>
        <v>420750</v>
      </c>
    </row>
    <row r="57" spans="1:3">
      <c r="A57" t="s">
        <v>65</v>
      </c>
      <c r="B57" s="2">
        <f>Revenue!G10</f>
        <v>242500</v>
      </c>
    </row>
    <row r="58" spans="1:3">
      <c r="A58" t="s">
        <v>66</v>
      </c>
      <c r="B58" s="2">
        <f>Revenue!G11+Revenue!G12+Revenue!G13</f>
        <v>0</v>
      </c>
    </row>
    <row r="84" spans="1:3" ht="15.75">
      <c r="A84" s="79" t="s">
        <v>67</v>
      </c>
      <c r="B84" s="79"/>
      <c r="C84" s="79"/>
    </row>
    <row r="85" spans="1:3">
      <c r="A85" s="80" t="s">
        <v>68</v>
      </c>
      <c r="B85" s="80"/>
      <c r="C85" s="80"/>
    </row>
    <row r="86" spans="1:3">
      <c r="A86" s="80"/>
      <c r="B86" s="80"/>
      <c r="C86" s="80"/>
    </row>
    <row r="87" spans="1:3">
      <c r="A87" s="80"/>
      <c r="B87" s="80"/>
      <c r="C87" s="80"/>
    </row>
    <row r="88" spans="1:3">
      <c r="A88" s="80"/>
      <c r="B88" s="80"/>
      <c r="C88" s="80"/>
    </row>
    <row r="89" spans="1:3">
      <c r="A89" s="80"/>
      <c r="B89" s="80"/>
      <c r="C89" s="80"/>
    </row>
    <row r="90" spans="1:3">
      <c r="A90" s="80"/>
      <c r="B90" s="80"/>
      <c r="C90" s="80"/>
    </row>
  </sheetData>
  <mergeCells count="8">
    <mergeCell ref="A51:C51"/>
    <mergeCell ref="A84:C84"/>
    <mergeCell ref="A85:C90"/>
    <mergeCell ref="A1:C1"/>
    <mergeCell ref="A3:C3"/>
    <mergeCell ref="A8:C8"/>
    <mergeCell ref="A17:C17"/>
    <mergeCell ref="A37:C3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D52"/>
  <sheetViews>
    <sheetView topLeftCell="A46" zoomScaleNormal="100" workbookViewId="0">
      <selection activeCell="B53" sqref="B53"/>
    </sheetView>
  </sheetViews>
  <sheetFormatPr defaultColWidth="8.7109375" defaultRowHeight="15"/>
  <cols>
    <col min="1" max="1" width="42" customWidth="1"/>
    <col min="2" max="2" width="18" customWidth="1"/>
    <col min="3" max="3" width="14" customWidth="1"/>
    <col min="4" max="4" width="60" customWidth="1"/>
  </cols>
  <sheetData>
    <row r="1" spans="1:4">
      <c r="A1" s="8" t="s">
        <v>69</v>
      </c>
      <c r="B1" s="8" t="s">
        <v>70</v>
      </c>
      <c r="C1" s="8" t="s">
        <v>71</v>
      </c>
      <c r="D1" s="8" t="s">
        <v>72</v>
      </c>
    </row>
    <row r="2" spans="1:4">
      <c r="A2" s="81" t="s">
        <v>73</v>
      </c>
      <c r="B2" s="81"/>
      <c r="C2" s="81"/>
      <c r="D2" s="81"/>
    </row>
    <row r="3" spans="1:4">
      <c r="A3" s="9" t="s">
        <v>74</v>
      </c>
      <c r="B3" s="10">
        <v>50</v>
      </c>
      <c r="C3" s="11" t="s">
        <v>75</v>
      </c>
      <c r="D3" s="11" t="s">
        <v>10</v>
      </c>
    </row>
    <row r="4" spans="1:4">
      <c r="A4" s="9" t="s">
        <v>76</v>
      </c>
      <c r="B4" s="10">
        <v>365</v>
      </c>
      <c r="C4" s="11" t="s">
        <v>77</v>
      </c>
      <c r="D4" s="11"/>
    </row>
    <row r="5" spans="1:4">
      <c r="A5" s="9" t="s">
        <v>78</v>
      </c>
      <c r="B5" s="10">
        <f>B3*B4</f>
        <v>18250</v>
      </c>
      <c r="C5" s="11" t="s">
        <v>79</v>
      </c>
      <c r="D5" s="11" t="s">
        <v>80</v>
      </c>
    </row>
    <row r="6" spans="1:4">
      <c r="A6" s="9" t="s">
        <v>81</v>
      </c>
      <c r="B6" s="10">
        <v>1.44</v>
      </c>
      <c r="C6" s="11" t="s">
        <v>82</v>
      </c>
      <c r="D6" s="11" t="s">
        <v>83</v>
      </c>
    </row>
    <row r="7" spans="1:4">
      <c r="A7" s="81" t="s">
        <v>84</v>
      </c>
      <c r="B7" s="81"/>
      <c r="C7" s="81"/>
      <c r="D7" s="81"/>
    </row>
    <row r="8" spans="1:4">
      <c r="A8" s="9" t="s">
        <v>85</v>
      </c>
      <c r="B8" s="12">
        <v>0.03</v>
      </c>
      <c r="C8" s="11" t="s">
        <v>86</v>
      </c>
      <c r="D8" s="11" t="s">
        <v>87</v>
      </c>
    </row>
    <row r="9" spans="1:4">
      <c r="A9" s="9" t="s">
        <v>88</v>
      </c>
      <c r="B9" s="13">
        <f>B8*1000</f>
        <v>30</v>
      </c>
      <c r="C9" s="11" t="s">
        <v>89</v>
      </c>
      <c r="D9" s="11"/>
    </row>
    <row r="10" spans="1:4">
      <c r="A10" s="9" t="s">
        <v>90</v>
      </c>
      <c r="B10" s="13">
        <f>B5*B9</f>
        <v>547500</v>
      </c>
      <c r="C10" s="11" t="s">
        <v>91</v>
      </c>
      <c r="D10" s="11" t="s">
        <v>92</v>
      </c>
    </row>
    <row r="11" spans="1:4">
      <c r="A11" s="81" t="s">
        <v>93</v>
      </c>
      <c r="B11" s="81"/>
      <c r="C11" s="81"/>
      <c r="D11" s="81"/>
    </row>
    <row r="12" spans="1:4">
      <c r="A12" s="9" t="s">
        <v>94</v>
      </c>
      <c r="B12" s="10">
        <v>115000</v>
      </c>
      <c r="C12" s="11" t="s">
        <v>95</v>
      </c>
      <c r="D12" s="11" t="s">
        <v>96</v>
      </c>
    </row>
    <row r="13" spans="1:4">
      <c r="A13" s="9" t="s">
        <v>97</v>
      </c>
      <c r="B13" s="14">
        <v>0.7</v>
      </c>
      <c r="C13" s="11" t="s">
        <v>98</v>
      </c>
      <c r="D13" s="11" t="s">
        <v>99</v>
      </c>
    </row>
    <row r="14" spans="1:4">
      <c r="A14" s="9" t="s">
        <v>100</v>
      </c>
      <c r="B14" s="12">
        <v>0.18</v>
      </c>
      <c r="C14" s="11" t="s">
        <v>101</v>
      </c>
      <c r="D14" s="11" t="s">
        <v>102</v>
      </c>
    </row>
    <row r="15" spans="1:4">
      <c r="A15" s="9" t="s">
        <v>103</v>
      </c>
      <c r="B15" s="12">
        <v>0.35</v>
      </c>
      <c r="C15" s="11" t="s">
        <v>101</v>
      </c>
      <c r="D15" s="11" t="s">
        <v>104</v>
      </c>
    </row>
    <row r="16" spans="1:4">
      <c r="A16" s="9" t="s">
        <v>105</v>
      </c>
      <c r="B16" s="13">
        <f>B12*12*(B13*B14+(1-B13)*B15)</f>
        <v>318780</v>
      </c>
      <c r="C16" s="11" t="s">
        <v>91</v>
      </c>
      <c r="D16" s="11"/>
    </row>
    <row r="17" spans="1:4">
      <c r="A17" s="81" t="s">
        <v>106</v>
      </c>
      <c r="B17" s="81"/>
      <c r="C17" s="81"/>
      <c r="D17" s="81"/>
    </row>
    <row r="18" spans="1:4">
      <c r="A18" s="9" t="s">
        <v>107</v>
      </c>
      <c r="B18" s="10">
        <v>200</v>
      </c>
      <c r="C18" s="11" t="s">
        <v>108</v>
      </c>
      <c r="D18" s="11" t="s">
        <v>109</v>
      </c>
    </row>
    <row r="19" spans="1:4">
      <c r="A19" s="9" t="s">
        <v>110</v>
      </c>
      <c r="B19" s="12">
        <v>2</v>
      </c>
      <c r="C19" s="11" t="s">
        <v>111</v>
      </c>
      <c r="D19" s="11" t="s">
        <v>112</v>
      </c>
    </row>
    <row r="20" spans="1:4">
      <c r="A20" s="9" t="s">
        <v>113</v>
      </c>
      <c r="B20" s="13">
        <f>B18*B19*B4</f>
        <v>146000</v>
      </c>
      <c r="C20" s="11" t="s">
        <v>91</v>
      </c>
      <c r="D20" s="11" t="s">
        <v>114</v>
      </c>
    </row>
    <row r="21" spans="1:4">
      <c r="A21" s="81" t="s">
        <v>115</v>
      </c>
      <c r="B21" s="81"/>
      <c r="C21" s="81"/>
      <c r="D21" s="81"/>
    </row>
    <row r="22" spans="1:4">
      <c r="A22" s="9" t="s">
        <v>116</v>
      </c>
      <c r="B22" s="10">
        <v>5</v>
      </c>
      <c r="C22" s="11" t="s">
        <v>117</v>
      </c>
      <c r="D22" s="11" t="s">
        <v>118</v>
      </c>
    </row>
    <row r="23" spans="1:4">
      <c r="A23" s="9" t="s">
        <v>119</v>
      </c>
      <c r="B23" s="10">
        <v>200</v>
      </c>
      <c r="C23" s="11" t="s">
        <v>120</v>
      </c>
      <c r="D23" s="11"/>
    </row>
    <row r="24" spans="1:4">
      <c r="A24" s="9" t="s">
        <v>121</v>
      </c>
      <c r="B24" s="10">
        <v>9</v>
      </c>
      <c r="C24" s="11" t="s">
        <v>122</v>
      </c>
      <c r="D24" s="11" t="s">
        <v>123</v>
      </c>
    </row>
    <row r="25" spans="1:4">
      <c r="A25" s="9" t="s">
        <v>124</v>
      </c>
      <c r="B25" s="10">
        <v>150</v>
      </c>
      <c r="C25" s="11" t="s">
        <v>120</v>
      </c>
      <c r="D25" s="11"/>
    </row>
    <row r="26" spans="1:4">
      <c r="A26" s="9" t="s">
        <v>125</v>
      </c>
      <c r="B26" s="12">
        <v>1.3</v>
      </c>
      <c r="C26" s="11" t="s">
        <v>126</v>
      </c>
      <c r="D26" s="11" t="s">
        <v>127</v>
      </c>
    </row>
    <row r="27" spans="1:4">
      <c r="A27" s="9" t="s">
        <v>128</v>
      </c>
      <c r="B27" s="13">
        <f>B22*B23*B26*12</f>
        <v>15600</v>
      </c>
      <c r="C27" s="11" t="s">
        <v>91</v>
      </c>
      <c r="D27" s="11"/>
    </row>
    <row r="28" spans="1:4">
      <c r="A28" s="9" t="s">
        <v>129</v>
      </c>
      <c r="B28" s="13">
        <f>B24*B25*B26*12</f>
        <v>21060</v>
      </c>
      <c r="C28" s="11" t="s">
        <v>91</v>
      </c>
      <c r="D28" s="11"/>
    </row>
    <row r="29" spans="1:4">
      <c r="A29" s="81" t="s">
        <v>130</v>
      </c>
      <c r="B29" s="81"/>
      <c r="C29" s="81"/>
      <c r="D29" s="81"/>
    </row>
    <row r="30" spans="1:4">
      <c r="A30" s="9" t="s">
        <v>131</v>
      </c>
      <c r="B30" s="14">
        <v>0.15</v>
      </c>
      <c r="C30" s="11" t="s">
        <v>98</v>
      </c>
      <c r="D30" s="11" t="s">
        <v>132</v>
      </c>
    </row>
    <row r="31" spans="1:4">
      <c r="A31" s="9" t="s">
        <v>133</v>
      </c>
      <c r="B31" s="14">
        <v>0.79</v>
      </c>
      <c r="C31" s="11" t="s">
        <v>98</v>
      </c>
      <c r="D31" s="11" t="s">
        <v>134</v>
      </c>
    </row>
    <row r="32" spans="1:4">
      <c r="A32" s="9" t="s">
        <v>135</v>
      </c>
      <c r="B32" s="14">
        <v>0.97</v>
      </c>
      <c r="C32" s="11" t="s">
        <v>98</v>
      </c>
      <c r="D32" s="11" t="s">
        <v>136</v>
      </c>
    </row>
    <row r="33" spans="1:4">
      <c r="A33" s="9" t="s">
        <v>137</v>
      </c>
      <c r="B33" s="10">
        <v>1</v>
      </c>
      <c r="C33" s="11" t="s">
        <v>98</v>
      </c>
      <c r="D33" s="11" t="s">
        <v>138</v>
      </c>
    </row>
    <row r="34" spans="1:4">
      <c r="A34" s="9" t="s">
        <v>139</v>
      </c>
      <c r="B34" s="10">
        <v>1</v>
      </c>
      <c r="C34" s="11" t="s">
        <v>98</v>
      </c>
      <c r="D34" s="11" t="s">
        <v>140</v>
      </c>
    </row>
    <row r="35" spans="1:4">
      <c r="A35" s="81" t="s">
        <v>141</v>
      </c>
      <c r="B35" s="81"/>
      <c r="C35" s="81"/>
      <c r="D35" s="81"/>
    </row>
    <row r="36" spans="1:4">
      <c r="A36" s="9" t="s">
        <v>142</v>
      </c>
      <c r="B36" s="14">
        <v>0.1</v>
      </c>
      <c r="C36" s="11" t="s">
        <v>98</v>
      </c>
      <c r="D36" s="11" t="s">
        <v>143</v>
      </c>
    </row>
    <row r="37" spans="1:4">
      <c r="A37" s="9" t="s">
        <v>144</v>
      </c>
      <c r="B37" s="14">
        <v>0.25</v>
      </c>
      <c r="C37" s="11" t="s">
        <v>98</v>
      </c>
      <c r="D37" s="11" t="s">
        <v>145</v>
      </c>
    </row>
    <row r="38" spans="1:4">
      <c r="A38" s="9" t="s">
        <v>146</v>
      </c>
      <c r="B38" s="14">
        <v>0.3</v>
      </c>
      <c r="C38" s="11" t="s">
        <v>98</v>
      </c>
      <c r="D38" s="11" t="s">
        <v>147</v>
      </c>
    </row>
    <row r="39" spans="1:4">
      <c r="A39" s="81" t="s">
        <v>148</v>
      </c>
      <c r="B39" s="81"/>
      <c r="C39" s="81"/>
      <c r="D39" s="81"/>
    </row>
    <row r="40" spans="1:4">
      <c r="A40" s="9" t="s">
        <v>149</v>
      </c>
      <c r="B40" s="13">
        <v>7200000</v>
      </c>
      <c r="C40" s="11" t="s">
        <v>91</v>
      </c>
      <c r="D40" s="11" t="s">
        <v>150</v>
      </c>
    </row>
    <row r="41" spans="1:4">
      <c r="A41" s="9" t="s">
        <v>151</v>
      </c>
      <c r="B41" s="13">
        <v>2760000</v>
      </c>
      <c r="C41" s="11" t="s">
        <v>91</v>
      </c>
      <c r="D41" s="11" t="s">
        <v>152</v>
      </c>
    </row>
    <row r="42" spans="1:4">
      <c r="A42" s="9" t="s">
        <v>153</v>
      </c>
      <c r="B42" s="13">
        <v>2040000</v>
      </c>
      <c r="C42" s="11" t="s">
        <v>91</v>
      </c>
      <c r="D42" s="11" t="s">
        <v>154</v>
      </c>
    </row>
    <row r="43" spans="1:4">
      <c r="A43" s="81" t="s">
        <v>155</v>
      </c>
      <c r="B43" s="81"/>
      <c r="C43" s="81"/>
      <c r="D43" s="81"/>
    </row>
    <row r="44" spans="1:4">
      <c r="A44" s="9" t="s">
        <v>156</v>
      </c>
      <c r="B44" s="13">
        <f>15000*33*0.85</f>
        <v>420750</v>
      </c>
      <c r="C44" s="11" t="s">
        <v>91</v>
      </c>
      <c r="D44" s="11" t="s">
        <v>157</v>
      </c>
    </row>
    <row r="45" spans="1:4">
      <c r="A45" s="9" t="s">
        <v>158</v>
      </c>
      <c r="B45" s="13">
        <f>35000*33*0.85</f>
        <v>981750</v>
      </c>
      <c r="C45" s="11" t="s">
        <v>91</v>
      </c>
      <c r="D45" s="11" t="s">
        <v>159</v>
      </c>
    </row>
    <row r="46" spans="1:4">
      <c r="A46" s="9" t="s">
        <v>160</v>
      </c>
      <c r="B46" s="13">
        <f>55080*33*0.85</f>
        <v>1544994</v>
      </c>
      <c r="C46" s="11" t="s">
        <v>91</v>
      </c>
      <c r="D46" s="11" t="s">
        <v>161</v>
      </c>
    </row>
    <row r="47" spans="1:4">
      <c r="A47" s="9" t="s">
        <v>162</v>
      </c>
      <c r="B47" s="13">
        <v>250000</v>
      </c>
      <c r="C47" s="11" t="s">
        <v>91</v>
      </c>
      <c r="D47" s="11" t="s">
        <v>163</v>
      </c>
    </row>
    <row r="48" spans="1:4">
      <c r="A48" s="9" t="s">
        <v>164</v>
      </c>
      <c r="B48" s="13">
        <v>600000</v>
      </c>
      <c r="C48" s="11" t="s">
        <v>91</v>
      </c>
      <c r="D48" s="11" t="s">
        <v>165</v>
      </c>
    </row>
    <row r="49" spans="1:4">
      <c r="A49" s="9" t="s">
        <v>166</v>
      </c>
      <c r="B49" s="13">
        <v>750000</v>
      </c>
      <c r="C49" s="11" t="s">
        <v>91</v>
      </c>
      <c r="D49" s="11" t="s">
        <v>167</v>
      </c>
    </row>
    <row r="50" spans="1:4">
      <c r="A50" s="9" t="s">
        <v>168</v>
      </c>
      <c r="B50" s="13">
        <v>200000</v>
      </c>
      <c r="C50" s="11" t="s">
        <v>91</v>
      </c>
      <c r="D50" s="11" t="s">
        <v>169</v>
      </c>
    </row>
    <row r="51" spans="1:4">
      <c r="A51" s="81" t="s">
        <v>170</v>
      </c>
      <c r="B51" s="81"/>
      <c r="C51" s="81"/>
      <c r="D51" s="81"/>
    </row>
    <row r="52" spans="1:4" ht="24">
      <c r="A52" s="9" t="s">
        <v>171</v>
      </c>
      <c r="B52" s="73">
        <v>0.05</v>
      </c>
      <c r="C52" s="11" t="s">
        <v>98</v>
      </c>
      <c r="D52" s="74" t="s">
        <v>172</v>
      </c>
    </row>
  </sheetData>
  <mergeCells count="10">
    <mergeCell ref="A2:D2"/>
    <mergeCell ref="A7:D7"/>
    <mergeCell ref="A11:D11"/>
    <mergeCell ref="A17:D17"/>
    <mergeCell ref="A21:D21"/>
    <mergeCell ref="A51:D51"/>
    <mergeCell ref="A29:D29"/>
    <mergeCell ref="A35:D35"/>
    <mergeCell ref="A39:D39"/>
    <mergeCell ref="A43:D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E20"/>
  <sheetViews>
    <sheetView zoomScaleNormal="100" workbookViewId="0">
      <selection activeCell="A12" sqref="A12"/>
    </sheetView>
  </sheetViews>
  <sheetFormatPr defaultColWidth="8.7109375" defaultRowHeight="15"/>
  <cols>
    <col min="1" max="1" width="55" customWidth="1"/>
    <col min="2" max="2" width="20" customWidth="1"/>
    <col min="3" max="3" width="17.7109375" customWidth="1"/>
    <col min="4" max="4" width="14" customWidth="1"/>
    <col min="5" max="5" width="60" customWidth="1"/>
  </cols>
  <sheetData>
    <row r="1" spans="1:5" ht="26.85">
      <c r="A1" s="15" t="s">
        <v>173</v>
      </c>
      <c r="B1" s="15" t="s">
        <v>174</v>
      </c>
      <c r="C1" s="15" t="s">
        <v>175</v>
      </c>
      <c r="D1" s="15" t="s">
        <v>176</v>
      </c>
      <c r="E1" s="15" t="s">
        <v>177</v>
      </c>
    </row>
    <row r="2" spans="1:5">
      <c r="A2" s="1" t="s">
        <v>178</v>
      </c>
      <c r="B2" s="2">
        <f>CAPEX_Equipment!I42</f>
        <v>2119600</v>
      </c>
      <c r="C2" s="16">
        <f>B2/B17</f>
        <v>0.34302565850051114</v>
      </c>
      <c r="D2" s="1" t="s">
        <v>179</v>
      </c>
      <c r="E2" s="1" t="s">
        <v>180</v>
      </c>
    </row>
    <row r="3" spans="1:5">
      <c r="A3" s="1" t="s">
        <v>181</v>
      </c>
      <c r="B3" s="2">
        <f>CAPEX_Infra_Vehicles_IT!F6</f>
        <v>218000</v>
      </c>
      <c r="C3" s="16">
        <f>B3/B17</f>
        <v>3.5280049798599465E-2</v>
      </c>
      <c r="D3" s="1" t="s">
        <v>182</v>
      </c>
      <c r="E3" s="1"/>
    </row>
    <row r="4" spans="1:5">
      <c r="A4" s="1" t="s">
        <v>183</v>
      </c>
      <c r="B4" s="2">
        <f>CAPEX_Infra_Vehicles_IT!F17</f>
        <v>570000</v>
      </c>
      <c r="C4" s="16">
        <f>B4/B17</f>
        <v>9.2246001766980265E-2</v>
      </c>
      <c r="D4" s="1" t="s">
        <v>182</v>
      </c>
      <c r="E4" s="1"/>
    </row>
    <row r="5" spans="1:5">
      <c r="A5" s="1" t="s">
        <v>184</v>
      </c>
      <c r="B5" s="2">
        <f>CAPEX_Infra_Vehicles_IT!F26</f>
        <v>275000</v>
      </c>
      <c r="C5" s="16">
        <f>B5/B17</f>
        <v>4.4504649975297496E-2</v>
      </c>
      <c r="D5" s="1" t="s">
        <v>182</v>
      </c>
      <c r="E5" s="1"/>
    </row>
    <row r="6" spans="1:5">
      <c r="A6" s="1" t="s">
        <v>185</v>
      </c>
      <c r="B6" s="2">
        <f>CAPEX_Infra_Vehicles_IT!F33</f>
        <v>73000</v>
      </c>
      <c r="C6" s="16">
        <f>B6/B17</f>
        <v>1.1813961629806243E-2</v>
      </c>
      <c r="D6" s="1" t="s">
        <v>182</v>
      </c>
      <c r="E6" s="1"/>
    </row>
    <row r="7" spans="1:5">
      <c r="A7" s="1" t="s">
        <v>186</v>
      </c>
      <c r="B7" s="2">
        <f>CAPEX_Infra_Vehicles_IT!F38</f>
        <v>27000</v>
      </c>
      <c r="C7" s="16">
        <f>B7/B17</f>
        <v>4.3695474521201179E-3</v>
      </c>
      <c r="D7" s="1" t="s">
        <v>182</v>
      </c>
      <c r="E7" s="1"/>
    </row>
    <row r="8" spans="1:5">
      <c r="A8" s="1" t="s">
        <v>187</v>
      </c>
      <c r="B8" s="2">
        <f>CAPEX_Infra_Vehicles_IT!F43</f>
        <v>24000</v>
      </c>
      <c r="C8" s="16">
        <f>B8/B17</f>
        <v>3.884042179662327E-3</v>
      </c>
      <c r="D8" s="1" t="s">
        <v>182</v>
      </c>
      <c r="E8" s="1"/>
    </row>
    <row r="9" spans="1:5">
      <c r="A9" s="1" t="s">
        <v>188</v>
      </c>
      <c r="B9" s="2">
        <f>CAPEX_Infra_Vehicles_IT!F54</f>
        <v>1785000</v>
      </c>
      <c r="C9" s="16">
        <f>B9/B17</f>
        <v>0.28887563711238556</v>
      </c>
      <c r="D9" s="1" t="s">
        <v>182</v>
      </c>
      <c r="E9" s="1"/>
    </row>
    <row r="10" spans="1:5">
      <c r="A10" s="1" t="s">
        <v>189</v>
      </c>
      <c r="B10" s="2">
        <f>CAPEX_Infra_Vehicles_IT!F60</f>
        <v>115000</v>
      </c>
      <c r="C10" s="16">
        <f>B10/B17</f>
        <v>1.8611035444215315E-2</v>
      </c>
      <c r="D10" s="1" t="s">
        <v>182</v>
      </c>
      <c r="E10" s="1"/>
    </row>
    <row r="11" spans="1:5">
      <c r="A11" s="1" t="s">
        <v>190</v>
      </c>
      <c r="B11" s="2">
        <f>CAPEX_Infra_Vehicles_IT!F71</f>
        <v>91000</v>
      </c>
      <c r="C11" s="16">
        <f>B11/B17</f>
        <v>1.472699326455299E-2</v>
      </c>
      <c r="D11" s="1" t="s">
        <v>182</v>
      </c>
      <c r="E11" s="1"/>
    </row>
    <row r="12" spans="1:5">
      <c r="A12" s="1" t="s">
        <v>191</v>
      </c>
      <c r="B12" s="2">
        <f>CAPEX_Infra_Vehicles_IT!F76</f>
        <v>85000</v>
      </c>
      <c r="C12" s="16">
        <f>B12/B17</f>
        <v>1.3755982719637407E-2</v>
      </c>
      <c r="D12" s="1" t="s">
        <v>182</v>
      </c>
      <c r="E12" s="1"/>
    </row>
    <row r="13" spans="1:5">
      <c r="A13" s="1" t="s">
        <v>170</v>
      </c>
      <c r="B13" s="2">
        <f>(B4+B2)*Assumptions!B52</f>
        <v>134480</v>
      </c>
      <c r="C13" s="16">
        <f>B13/B17</f>
        <v>2.1763583013374572E-2</v>
      </c>
      <c r="D13" s="1" t="s">
        <v>182</v>
      </c>
      <c r="E13" s="1"/>
    </row>
    <row r="14" spans="1:5">
      <c r="A14" s="17" t="s">
        <v>192</v>
      </c>
      <c r="B14" s="18">
        <f>SUM(B2:B13)</f>
        <v>5517080</v>
      </c>
      <c r="C14" s="19"/>
      <c r="D14" s="19"/>
      <c r="E14" s="19"/>
    </row>
    <row r="15" spans="1:5">
      <c r="A15" s="20" t="s">
        <v>193</v>
      </c>
      <c r="B15" s="21">
        <f>B14*Assumptions!B36</f>
        <v>551708</v>
      </c>
      <c r="C15" s="22"/>
      <c r="D15" s="22" t="s">
        <v>194</v>
      </c>
      <c r="E15" s="22" t="s">
        <v>195</v>
      </c>
    </row>
    <row r="16" spans="1:5">
      <c r="A16" s="20" t="s">
        <v>196</v>
      </c>
      <c r="B16" s="21">
        <f>2%*B14</f>
        <v>110341.6</v>
      </c>
      <c r="C16" s="22"/>
      <c r="D16" s="22"/>
      <c r="E16" s="22" t="s">
        <v>197</v>
      </c>
    </row>
    <row r="17" spans="1:5">
      <c r="A17" s="23" t="s">
        <v>198</v>
      </c>
      <c r="B17" s="24">
        <f>B14+B15+B16</f>
        <v>6179129.5999999996</v>
      </c>
      <c r="C17" s="25"/>
      <c r="D17" s="25"/>
      <c r="E17" s="25"/>
    </row>
    <row r="19" spans="1:5">
      <c r="A19" s="26" t="s">
        <v>199</v>
      </c>
      <c r="B19" s="27">
        <f>Working_Capital!G35</f>
        <v>2360476.8833333338</v>
      </c>
      <c r="C19" s="28"/>
      <c r="D19" s="28" t="s">
        <v>200</v>
      </c>
      <c r="E19" s="28" t="s">
        <v>201</v>
      </c>
    </row>
    <row r="20" spans="1:5" ht="17.45">
      <c r="A20" s="29" t="s">
        <v>202</v>
      </c>
      <c r="B20" s="30">
        <f>B17+B19</f>
        <v>8539606.4833333343</v>
      </c>
      <c r="C20" s="31"/>
      <c r="D20" s="31"/>
      <c r="E20" s="31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J42"/>
  <sheetViews>
    <sheetView topLeftCell="A31" zoomScaleNormal="100" workbookViewId="0">
      <selection activeCell="J27" sqref="J27"/>
    </sheetView>
  </sheetViews>
  <sheetFormatPr defaultColWidth="8.7109375" defaultRowHeight="15"/>
  <cols>
    <col min="1" max="1" width="10" customWidth="1"/>
    <col min="2" max="2" width="42" customWidth="1"/>
    <col min="3" max="3" width="24" customWidth="1"/>
    <col min="4" max="4" width="10" customWidth="1"/>
    <col min="5" max="5" width="5" customWidth="1"/>
    <col min="6" max="6" width="14" customWidth="1"/>
    <col min="7" max="7" width="16" customWidth="1"/>
    <col min="8" max="8" width="10" customWidth="1"/>
    <col min="9" max="9" width="18" customWidth="1"/>
    <col min="10" max="10" width="40" customWidth="1"/>
  </cols>
  <sheetData>
    <row r="1" spans="1:10">
      <c r="A1" s="15" t="s">
        <v>204</v>
      </c>
      <c r="B1" s="15" t="s">
        <v>205</v>
      </c>
      <c r="C1" s="15" t="s">
        <v>206</v>
      </c>
      <c r="D1" s="15" t="s">
        <v>207</v>
      </c>
      <c r="E1" s="15" t="s">
        <v>208</v>
      </c>
      <c r="F1" s="15" t="s">
        <v>209</v>
      </c>
      <c r="G1" s="15" t="s">
        <v>210</v>
      </c>
      <c r="H1" s="15" t="s">
        <v>211</v>
      </c>
      <c r="I1" s="15" t="s">
        <v>212</v>
      </c>
      <c r="J1" s="15" t="s">
        <v>72</v>
      </c>
    </row>
    <row r="2" spans="1:10">
      <c r="A2" s="81" t="s">
        <v>213</v>
      </c>
      <c r="B2" s="81"/>
      <c r="C2" s="81"/>
      <c r="D2" s="81"/>
      <c r="E2" s="81"/>
      <c r="F2" s="81"/>
      <c r="G2" s="81"/>
      <c r="H2" s="81"/>
      <c r="I2" s="81"/>
      <c r="J2" s="81"/>
    </row>
    <row r="3" spans="1:10">
      <c r="A3" s="1" t="s">
        <v>214</v>
      </c>
      <c r="B3" s="1" t="s">
        <v>215</v>
      </c>
      <c r="C3" s="1" t="s">
        <v>216</v>
      </c>
      <c r="D3" s="1" t="s">
        <v>217</v>
      </c>
      <c r="E3" s="32">
        <v>1</v>
      </c>
      <c r="F3" s="2">
        <v>10000</v>
      </c>
      <c r="G3" s="2">
        <f>E3*F3</f>
        <v>10000</v>
      </c>
      <c r="H3" s="33">
        <f>Assumptions!B6</f>
        <v>1.44</v>
      </c>
      <c r="I3" s="2">
        <f>G3*H3</f>
        <v>14400</v>
      </c>
      <c r="J3" s="1" t="s">
        <v>218</v>
      </c>
    </row>
    <row r="4" spans="1:10">
      <c r="A4" s="1" t="s">
        <v>214</v>
      </c>
      <c r="B4" s="1" t="s">
        <v>219</v>
      </c>
      <c r="C4" s="1" t="s">
        <v>220</v>
      </c>
      <c r="D4" s="1" t="s">
        <v>217</v>
      </c>
      <c r="E4" s="32">
        <v>3</v>
      </c>
      <c r="F4" s="2">
        <v>35000</v>
      </c>
      <c r="G4" s="2">
        <f>E4*F4</f>
        <v>105000</v>
      </c>
      <c r="H4" s="33">
        <f>Assumptions!B6</f>
        <v>1.44</v>
      </c>
      <c r="I4" s="2">
        <f>G4*H4</f>
        <v>151200</v>
      </c>
      <c r="J4" s="1" t="s">
        <v>221</v>
      </c>
    </row>
    <row r="5" spans="1:10">
      <c r="A5" s="1" t="s">
        <v>214</v>
      </c>
      <c r="B5" s="1" t="s">
        <v>222</v>
      </c>
      <c r="C5" s="1" t="s">
        <v>220</v>
      </c>
      <c r="D5" s="1" t="s">
        <v>217</v>
      </c>
      <c r="E5" s="32">
        <v>4</v>
      </c>
      <c r="F5" s="2">
        <v>35000</v>
      </c>
      <c r="G5" s="2">
        <f>E5*F5</f>
        <v>140000</v>
      </c>
      <c r="H5" s="33">
        <f>Assumptions!B6</f>
        <v>1.44</v>
      </c>
      <c r="I5" s="2">
        <f>G5*H5</f>
        <v>201600</v>
      </c>
      <c r="J5" s="1" t="s">
        <v>223</v>
      </c>
    </row>
    <row r="6" spans="1:10">
      <c r="A6" s="1" t="s">
        <v>214</v>
      </c>
      <c r="B6" s="1" t="s">
        <v>224</v>
      </c>
      <c r="C6" s="1" t="s">
        <v>225</v>
      </c>
      <c r="D6" s="1" t="s">
        <v>217</v>
      </c>
      <c r="E6" s="32">
        <v>5</v>
      </c>
      <c r="F6" s="2">
        <v>15000</v>
      </c>
      <c r="G6" s="2">
        <f>E6*F6</f>
        <v>75000</v>
      </c>
      <c r="H6" s="33">
        <f>Assumptions!B6</f>
        <v>1.44</v>
      </c>
      <c r="I6" s="2">
        <f>G6*H6</f>
        <v>108000</v>
      </c>
      <c r="J6" s="1" t="s">
        <v>226</v>
      </c>
    </row>
    <row r="7" spans="1:10">
      <c r="A7" s="1" t="s">
        <v>214</v>
      </c>
      <c r="B7" s="1" t="s">
        <v>227</v>
      </c>
      <c r="C7" s="1" t="s">
        <v>228</v>
      </c>
      <c r="D7" s="1" t="s">
        <v>217</v>
      </c>
      <c r="E7" s="32">
        <v>5</v>
      </c>
      <c r="F7" s="2">
        <v>45000</v>
      </c>
      <c r="G7" s="2">
        <f>E7*F7</f>
        <v>225000</v>
      </c>
      <c r="H7" s="33">
        <f>Assumptions!B6</f>
        <v>1.44</v>
      </c>
      <c r="I7" s="2">
        <f>G7*H7</f>
        <v>324000</v>
      </c>
      <c r="J7" s="1" t="s">
        <v>229</v>
      </c>
    </row>
    <row r="8" spans="1:10">
      <c r="A8" s="1" t="s">
        <v>214</v>
      </c>
      <c r="B8" s="1" t="s">
        <v>230</v>
      </c>
      <c r="C8" s="1" t="s">
        <v>231</v>
      </c>
      <c r="D8" s="1" t="s">
        <v>217</v>
      </c>
      <c r="E8" s="32">
        <v>5</v>
      </c>
      <c r="F8" s="2">
        <v>25000</v>
      </c>
      <c r="G8" s="2">
        <f>E8*F8</f>
        <v>125000</v>
      </c>
      <c r="H8" s="33">
        <f>Assumptions!B6</f>
        <v>1.44</v>
      </c>
      <c r="I8" s="2">
        <f>G8*H8</f>
        <v>180000</v>
      </c>
      <c r="J8" s="1" t="s">
        <v>232</v>
      </c>
    </row>
    <row r="9" spans="1:10">
      <c r="A9" s="1" t="s">
        <v>214</v>
      </c>
      <c r="B9" s="1" t="s">
        <v>233</v>
      </c>
      <c r="C9" s="1" t="s">
        <v>234</v>
      </c>
      <c r="D9" s="1" t="s">
        <v>235</v>
      </c>
      <c r="E9" s="32">
        <v>1</v>
      </c>
      <c r="F9" s="2">
        <v>10000</v>
      </c>
      <c r="G9" s="2">
        <f>E9*F9</f>
        <v>10000</v>
      </c>
      <c r="H9" s="33">
        <v>1</v>
      </c>
      <c r="I9" s="2">
        <f>G9*H9</f>
        <v>10000</v>
      </c>
      <c r="J9" s="1" t="s">
        <v>236</v>
      </c>
    </row>
    <row r="10" spans="1:10">
      <c r="A10" s="17"/>
      <c r="B10" s="17" t="s">
        <v>237</v>
      </c>
      <c r="C10" s="19"/>
      <c r="D10" s="19"/>
      <c r="E10" s="19"/>
      <c r="F10" s="19"/>
      <c r="G10" s="34">
        <f>SUM(G3:G9)</f>
        <v>690000</v>
      </c>
      <c r="H10" s="19"/>
      <c r="I10" s="34">
        <f>SUM(I3:I9)</f>
        <v>989200</v>
      </c>
      <c r="J10" s="19"/>
    </row>
    <row r="11" spans="1:10">
      <c r="A11" s="81" t="s">
        <v>238</v>
      </c>
      <c r="B11" s="81"/>
      <c r="C11" s="81"/>
      <c r="D11" s="81"/>
      <c r="E11" s="81"/>
      <c r="F11" s="81"/>
      <c r="G11" s="81"/>
      <c r="H11" s="81"/>
      <c r="I11" s="81"/>
      <c r="J11" s="81"/>
    </row>
    <row r="12" spans="1:10">
      <c r="A12" s="1" t="s">
        <v>239</v>
      </c>
      <c r="B12" s="1" t="s">
        <v>240</v>
      </c>
      <c r="C12" s="1" t="s">
        <v>241</v>
      </c>
      <c r="D12" s="1" t="s">
        <v>217</v>
      </c>
      <c r="E12" s="32">
        <v>1</v>
      </c>
      <c r="F12" s="2">
        <v>20000</v>
      </c>
      <c r="G12" s="2">
        <f>E12*F12</f>
        <v>20000</v>
      </c>
      <c r="H12" s="33">
        <f>Assumptions!B6</f>
        <v>1.44</v>
      </c>
      <c r="I12" s="2">
        <f>G12*H12</f>
        <v>28800</v>
      </c>
      <c r="J12" s="1" t="s">
        <v>242</v>
      </c>
    </row>
    <row r="13" spans="1:10">
      <c r="A13" s="1" t="s">
        <v>239</v>
      </c>
      <c r="B13" s="1" t="s">
        <v>243</v>
      </c>
      <c r="C13" s="1" t="s">
        <v>244</v>
      </c>
      <c r="D13" s="1" t="s">
        <v>217</v>
      </c>
      <c r="E13" s="32">
        <v>1</v>
      </c>
      <c r="F13" s="2">
        <v>25000</v>
      </c>
      <c r="G13" s="2">
        <f>E13*F13</f>
        <v>25000</v>
      </c>
      <c r="H13" s="33">
        <f>Assumptions!B6</f>
        <v>1.44</v>
      </c>
      <c r="I13" s="2">
        <f>G13*H13</f>
        <v>36000</v>
      </c>
      <c r="J13" s="1"/>
    </row>
    <row r="14" spans="1:10">
      <c r="A14" s="1" t="s">
        <v>239</v>
      </c>
      <c r="B14" s="1" t="s">
        <v>245</v>
      </c>
      <c r="C14" s="1" t="s">
        <v>246</v>
      </c>
      <c r="D14" s="1" t="s">
        <v>247</v>
      </c>
      <c r="E14" s="32">
        <v>2</v>
      </c>
      <c r="F14" s="2">
        <v>80000</v>
      </c>
      <c r="G14" s="2">
        <f>E14*F14</f>
        <v>160000</v>
      </c>
      <c r="H14" s="33">
        <f>Assumptions!B6</f>
        <v>1.44</v>
      </c>
      <c r="I14" s="2">
        <f>G14*H14</f>
        <v>230400</v>
      </c>
      <c r="J14" s="1" t="s">
        <v>248</v>
      </c>
    </row>
    <row r="15" spans="1:10">
      <c r="A15" s="1" t="s">
        <v>239</v>
      </c>
      <c r="B15" s="1" t="s">
        <v>249</v>
      </c>
      <c r="C15" s="1" t="s">
        <v>250</v>
      </c>
      <c r="D15" s="1" t="s">
        <v>251</v>
      </c>
      <c r="E15" s="32">
        <v>1</v>
      </c>
      <c r="F15" s="2">
        <v>30000</v>
      </c>
      <c r="G15" s="2">
        <f>E15*F15</f>
        <v>30000</v>
      </c>
      <c r="H15" s="33">
        <f>Assumptions!B6</f>
        <v>1.44</v>
      </c>
      <c r="I15" s="2">
        <f>G15*H15</f>
        <v>43200</v>
      </c>
      <c r="J15" s="1"/>
    </row>
    <row r="16" spans="1:10">
      <c r="A16" s="1" t="s">
        <v>239</v>
      </c>
      <c r="B16" s="1" t="s">
        <v>252</v>
      </c>
      <c r="C16" s="1" t="s">
        <v>253</v>
      </c>
      <c r="D16" s="1" t="s">
        <v>254</v>
      </c>
      <c r="E16" s="32">
        <v>2</v>
      </c>
      <c r="F16" s="2">
        <v>15000</v>
      </c>
      <c r="G16" s="2">
        <f>E16*F16</f>
        <v>30000</v>
      </c>
      <c r="H16" s="33">
        <f>Assumptions!B6</f>
        <v>1.44</v>
      </c>
      <c r="I16" s="2">
        <f>G16*H16</f>
        <v>43200</v>
      </c>
      <c r="J16" s="1"/>
    </row>
    <row r="17" spans="1:10">
      <c r="A17" s="1" t="s">
        <v>239</v>
      </c>
      <c r="B17" s="1" t="s">
        <v>255</v>
      </c>
      <c r="C17" s="1" t="s">
        <v>256</v>
      </c>
      <c r="D17" s="1" t="s">
        <v>235</v>
      </c>
      <c r="E17" s="32">
        <v>50</v>
      </c>
      <c r="F17" s="2">
        <v>400</v>
      </c>
      <c r="G17" s="2">
        <f>E17*F17</f>
        <v>20000</v>
      </c>
      <c r="H17" s="33">
        <v>1</v>
      </c>
      <c r="I17" s="2">
        <f>G17*H17</f>
        <v>20000</v>
      </c>
      <c r="J17" s="1"/>
    </row>
    <row r="18" spans="1:10">
      <c r="A18" s="1" t="s">
        <v>239</v>
      </c>
      <c r="B18" s="1" t="s">
        <v>257</v>
      </c>
      <c r="C18" s="1" t="s">
        <v>258</v>
      </c>
      <c r="D18" s="1" t="s">
        <v>259</v>
      </c>
      <c r="E18" s="32">
        <v>1</v>
      </c>
      <c r="F18" s="2">
        <v>15000</v>
      </c>
      <c r="G18" s="2">
        <f>E18*F18</f>
        <v>15000</v>
      </c>
      <c r="H18" s="33">
        <f>Assumptions!B6</f>
        <v>1.44</v>
      </c>
      <c r="I18" s="2">
        <f>G18*H18</f>
        <v>21600</v>
      </c>
      <c r="J18" s="1" t="s">
        <v>260</v>
      </c>
    </row>
    <row r="19" spans="1:10">
      <c r="A19" s="17"/>
      <c r="B19" s="17" t="s">
        <v>261</v>
      </c>
      <c r="C19" s="19"/>
      <c r="D19" s="19"/>
      <c r="E19" s="19"/>
      <c r="F19" s="19"/>
      <c r="G19" s="34">
        <f>SUM(G12:G18)</f>
        <v>300000</v>
      </c>
      <c r="H19" s="19"/>
      <c r="I19" s="34">
        <f>SUM(I12:I18)</f>
        <v>423200</v>
      </c>
      <c r="J19" s="19"/>
    </row>
    <row r="20" spans="1:10">
      <c r="A20" s="81" t="s">
        <v>262</v>
      </c>
      <c r="B20" s="81"/>
      <c r="C20" s="81"/>
      <c r="D20" s="81"/>
      <c r="E20" s="81"/>
      <c r="F20" s="81"/>
      <c r="G20" s="81"/>
      <c r="H20" s="81"/>
      <c r="I20" s="81"/>
      <c r="J20" s="81"/>
    </row>
    <row r="21" spans="1:10">
      <c r="A21" s="1" t="s">
        <v>263</v>
      </c>
      <c r="B21" s="1" t="s">
        <v>264</v>
      </c>
      <c r="C21" s="1" t="s">
        <v>265</v>
      </c>
      <c r="D21" s="1" t="s">
        <v>217</v>
      </c>
      <c r="E21" s="32">
        <v>1</v>
      </c>
      <c r="F21" s="2">
        <v>15000</v>
      </c>
      <c r="G21" s="2">
        <f>E21*F21</f>
        <v>15000</v>
      </c>
      <c r="H21" s="33">
        <f>Assumptions!B6</f>
        <v>1.44</v>
      </c>
      <c r="I21" s="2">
        <f>G21*H21</f>
        <v>21600</v>
      </c>
      <c r="J21" s="1"/>
    </row>
    <row r="22" spans="1:10">
      <c r="A22" s="1" t="s">
        <v>263</v>
      </c>
      <c r="B22" s="1" t="s">
        <v>266</v>
      </c>
      <c r="C22" s="1" t="s">
        <v>267</v>
      </c>
      <c r="D22" s="1" t="s">
        <v>217</v>
      </c>
      <c r="E22" s="32">
        <v>1</v>
      </c>
      <c r="F22" s="2">
        <v>35000</v>
      </c>
      <c r="G22" s="2">
        <f>E22*F22</f>
        <v>35000</v>
      </c>
      <c r="H22" s="33">
        <f>Assumptions!B6</f>
        <v>1.44</v>
      </c>
      <c r="I22" s="2">
        <f>G22*H22</f>
        <v>50400</v>
      </c>
      <c r="J22" s="1"/>
    </row>
    <row r="23" spans="1:10">
      <c r="A23" s="1" t="s">
        <v>263</v>
      </c>
      <c r="B23" s="1" t="s">
        <v>268</v>
      </c>
      <c r="C23" s="1" t="s">
        <v>269</v>
      </c>
      <c r="D23" s="1" t="s">
        <v>217</v>
      </c>
      <c r="E23" s="32">
        <v>3</v>
      </c>
      <c r="F23" s="2">
        <v>40000</v>
      </c>
      <c r="G23" s="2">
        <f>E23*F23</f>
        <v>120000</v>
      </c>
      <c r="H23" s="33">
        <f>Assumptions!B6</f>
        <v>1.44</v>
      </c>
      <c r="I23" s="2">
        <f>G23*H23</f>
        <v>172800</v>
      </c>
      <c r="J23" s="1" t="s">
        <v>270</v>
      </c>
    </row>
    <row r="24" spans="1:10">
      <c r="A24" s="1" t="s">
        <v>263</v>
      </c>
      <c r="B24" s="1" t="s">
        <v>271</v>
      </c>
      <c r="C24" s="1" t="s">
        <v>272</v>
      </c>
      <c r="D24" s="1" t="s">
        <v>235</v>
      </c>
      <c r="E24" s="32">
        <v>30</v>
      </c>
      <c r="F24" s="2">
        <v>500</v>
      </c>
      <c r="G24" s="2">
        <f>E24*F24</f>
        <v>15000</v>
      </c>
      <c r="H24" s="33">
        <v>1</v>
      </c>
      <c r="I24" s="2">
        <f>G24*H24</f>
        <v>15000</v>
      </c>
      <c r="J24" s="1" t="s">
        <v>273</v>
      </c>
    </row>
    <row r="25" spans="1:10">
      <c r="A25" s="1" t="s">
        <v>263</v>
      </c>
      <c r="B25" s="1" t="s">
        <v>274</v>
      </c>
      <c r="C25" s="1" t="s">
        <v>234</v>
      </c>
      <c r="D25" s="1" t="s">
        <v>235</v>
      </c>
      <c r="E25" s="32">
        <v>1</v>
      </c>
      <c r="F25" s="2">
        <v>20000</v>
      </c>
      <c r="G25" s="2">
        <f>E25*F25</f>
        <v>20000</v>
      </c>
      <c r="H25" s="33">
        <v>1</v>
      </c>
      <c r="I25" s="2">
        <f>G25*H25</f>
        <v>20000</v>
      </c>
      <c r="J25" s="1"/>
    </row>
    <row r="26" spans="1:10">
      <c r="A26" s="1" t="s">
        <v>263</v>
      </c>
      <c r="B26" s="1" t="s">
        <v>275</v>
      </c>
      <c r="C26" s="1" t="s">
        <v>258</v>
      </c>
      <c r="D26" s="1" t="s">
        <v>217</v>
      </c>
      <c r="E26" s="32">
        <v>1</v>
      </c>
      <c r="F26" s="2">
        <v>12000</v>
      </c>
      <c r="G26" s="2">
        <f>E26*F26</f>
        <v>12000</v>
      </c>
      <c r="H26" s="33">
        <f>Assumptions!B6</f>
        <v>1.44</v>
      </c>
      <c r="I26" s="2">
        <f>G26*H26</f>
        <v>17280</v>
      </c>
      <c r="J26" s="1" t="s">
        <v>276</v>
      </c>
    </row>
    <row r="27" spans="1:10">
      <c r="A27" s="1" t="s">
        <v>263</v>
      </c>
      <c r="B27" s="1" t="s">
        <v>277</v>
      </c>
      <c r="C27" s="1" t="s">
        <v>278</v>
      </c>
      <c r="D27" s="1" t="s">
        <v>235</v>
      </c>
      <c r="E27" s="32">
        <v>2</v>
      </c>
      <c r="F27" s="2">
        <v>5000</v>
      </c>
      <c r="G27" s="2">
        <f>E27*F27</f>
        <v>10000</v>
      </c>
      <c r="H27" s="33">
        <v>1</v>
      </c>
      <c r="I27" s="2">
        <f>G27*H27</f>
        <v>10000</v>
      </c>
      <c r="J27" s="1"/>
    </row>
    <row r="28" spans="1:10">
      <c r="A28" s="17"/>
      <c r="B28" s="17" t="s">
        <v>279</v>
      </c>
      <c r="C28" s="19"/>
      <c r="D28" s="19"/>
      <c r="E28" s="19"/>
      <c r="F28" s="19"/>
      <c r="G28" s="34">
        <f>SUM(G21:G27)</f>
        <v>227000</v>
      </c>
      <c r="H28" s="19"/>
      <c r="I28" s="34">
        <f>SUM(I21:I27)</f>
        <v>307080</v>
      </c>
      <c r="J28" s="19"/>
    </row>
    <row r="29" spans="1:10">
      <c r="A29" s="81" t="s">
        <v>280</v>
      </c>
      <c r="B29" s="81"/>
      <c r="C29" s="81"/>
      <c r="D29" s="81"/>
      <c r="E29" s="81"/>
      <c r="F29" s="81"/>
      <c r="G29" s="81"/>
      <c r="H29" s="81"/>
      <c r="I29" s="81"/>
      <c r="J29" s="81"/>
    </row>
    <row r="30" spans="1:10">
      <c r="A30" s="1" t="s">
        <v>281</v>
      </c>
      <c r="B30" s="1" t="s">
        <v>282</v>
      </c>
      <c r="C30" s="1" t="s">
        <v>258</v>
      </c>
      <c r="D30" s="1" t="s">
        <v>217</v>
      </c>
      <c r="E30" s="32">
        <v>1</v>
      </c>
      <c r="F30" s="2">
        <v>18000</v>
      </c>
      <c r="G30" s="2">
        <f>E30*F30</f>
        <v>18000</v>
      </c>
      <c r="H30" s="33">
        <f>Assumptions!B6</f>
        <v>1.44</v>
      </c>
      <c r="I30" s="2">
        <f>G30*H30</f>
        <v>25920</v>
      </c>
      <c r="J30" s="1"/>
    </row>
    <row r="31" spans="1:10">
      <c r="A31" s="1" t="s">
        <v>281</v>
      </c>
      <c r="B31" s="1" t="s">
        <v>283</v>
      </c>
      <c r="C31" s="1" t="s">
        <v>253</v>
      </c>
      <c r="D31" s="1" t="s">
        <v>254</v>
      </c>
      <c r="E31" s="32">
        <v>1</v>
      </c>
      <c r="F31" s="2">
        <v>8000</v>
      </c>
      <c r="G31" s="2">
        <f>E31*F31</f>
        <v>8000</v>
      </c>
      <c r="H31" s="33">
        <f>Assumptions!B6</f>
        <v>1.44</v>
      </c>
      <c r="I31" s="2">
        <f>G31*H31</f>
        <v>11520</v>
      </c>
      <c r="J31" s="1" t="s">
        <v>284</v>
      </c>
    </row>
    <row r="32" spans="1:10">
      <c r="A32" s="1" t="s">
        <v>281</v>
      </c>
      <c r="B32" s="1" t="s">
        <v>285</v>
      </c>
      <c r="C32" s="1" t="s">
        <v>278</v>
      </c>
      <c r="D32" s="1" t="s">
        <v>235</v>
      </c>
      <c r="E32" s="32">
        <v>3</v>
      </c>
      <c r="F32" s="2">
        <v>2000</v>
      </c>
      <c r="G32" s="2">
        <f>E32*F32</f>
        <v>6000</v>
      </c>
      <c r="H32" s="33">
        <v>1</v>
      </c>
      <c r="I32" s="2">
        <f>G32*H32</f>
        <v>6000</v>
      </c>
      <c r="J32" s="1" t="s">
        <v>286</v>
      </c>
    </row>
    <row r="33" spans="1:10">
      <c r="A33" s="1" t="s">
        <v>281</v>
      </c>
      <c r="B33" s="1" t="s">
        <v>287</v>
      </c>
      <c r="C33" s="1" t="s">
        <v>258</v>
      </c>
      <c r="D33" s="1" t="s">
        <v>259</v>
      </c>
      <c r="E33" s="32">
        <v>1</v>
      </c>
      <c r="F33" s="2">
        <v>9000</v>
      </c>
      <c r="G33" s="2">
        <f>E33*F33</f>
        <v>9000</v>
      </c>
      <c r="H33" s="33">
        <f>Assumptions!B6</f>
        <v>1.44</v>
      </c>
      <c r="I33" s="2">
        <f>G33*H33</f>
        <v>12960</v>
      </c>
      <c r="J33" s="1" t="s">
        <v>288</v>
      </c>
    </row>
    <row r="34" spans="1:10">
      <c r="A34" s="1" t="s">
        <v>281</v>
      </c>
      <c r="B34" s="1" t="s">
        <v>289</v>
      </c>
      <c r="C34" s="1" t="s">
        <v>290</v>
      </c>
      <c r="D34" s="1" t="s">
        <v>217</v>
      </c>
      <c r="E34" s="32">
        <v>1</v>
      </c>
      <c r="F34" s="2">
        <v>5000</v>
      </c>
      <c r="G34" s="2">
        <f>E34*F34</f>
        <v>5000</v>
      </c>
      <c r="H34" s="33">
        <f>Assumptions!B6</f>
        <v>1.44</v>
      </c>
      <c r="I34" s="2">
        <f>G34*H34</f>
        <v>7200</v>
      </c>
      <c r="J34" s="1"/>
    </row>
    <row r="35" spans="1:10">
      <c r="A35" s="1" t="s">
        <v>281</v>
      </c>
      <c r="B35" s="1" t="s">
        <v>291</v>
      </c>
      <c r="C35" s="1" t="s">
        <v>292</v>
      </c>
      <c r="D35" s="1" t="s">
        <v>290</v>
      </c>
      <c r="E35" s="32">
        <v>1</v>
      </c>
      <c r="F35" s="2">
        <v>8000</v>
      </c>
      <c r="G35" s="2">
        <f>E35*F35</f>
        <v>8000</v>
      </c>
      <c r="H35" s="33">
        <f>Assumptions!B6</f>
        <v>1.44</v>
      </c>
      <c r="I35" s="2">
        <f>G35*H35</f>
        <v>11520</v>
      </c>
      <c r="J35" s="1" t="s">
        <v>293</v>
      </c>
    </row>
    <row r="36" spans="1:10">
      <c r="A36" s="1" t="s">
        <v>281</v>
      </c>
      <c r="B36" s="1" t="s">
        <v>294</v>
      </c>
      <c r="C36" s="1" t="s">
        <v>295</v>
      </c>
      <c r="D36" s="1" t="s">
        <v>296</v>
      </c>
      <c r="E36" s="32">
        <v>1</v>
      </c>
      <c r="F36" s="2">
        <v>150000</v>
      </c>
      <c r="G36" s="2">
        <f>E36*F36</f>
        <v>150000</v>
      </c>
      <c r="H36" s="33">
        <v>1</v>
      </c>
      <c r="I36" s="2">
        <f>G36*H36</f>
        <v>150000</v>
      </c>
      <c r="J36" s="1" t="s">
        <v>297</v>
      </c>
    </row>
    <row r="37" spans="1:10">
      <c r="A37" s="1" t="s">
        <v>281</v>
      </c>
      <c r="B37" s="1" t="s">
        <v>298</v>
      </c>
      <c r="C37" s="1" t="s">
        <v>299</v>
      </c>
      <c r="D37" s="1" t="s">
        <v>235</v>
      </c>
      <c r="E37" s="32">
        <v>1</v>
      </c>
      <c r="F37" s="2">
        <v>100000</v>
      </c>
      <c r="G37" s="2">
        <f>E37*F37</f>
        <v>100000</v>
      </c>
      <c r="H37" s="33">
        <v>1</v>
      </c>
      <c r="I37" s="2">
        <f>G37*H37</f>
        <v>100000</v>
      </c>
      <c r="J37" s="1" t="s">
        <v>300</v>
      </c>
    </row>
    <row r="38" spans="1:10">
      <c r="A38" s="1" t="s">
        <v>281</v>
      </c>
      <c r="B38" s="1" t="s">
        <v>301</v>
      </c>
      <c r="C38" s="1" t="s">
        <v>290</v>
      </c>
      <c r="D38" s="1" t="s">
        <v>290</v>
      </c>
      <c r="E38" s="32">
        <v>1</v>
      </c>
      <c r="F38" s="2">
        <v>75000</v>
      </c>
      <c r="G38" s="2">
        <f>E38*F38</f>
        <v>75000</v>
      </c>
      <c r="H38" s="33">
        <v>1</v>
      </c>
      <c r="I38" s="2">
        <f>G38*H38</f>
        <v>75000</v>
      </c>
      <c r="J38" s="1" t="s">
        <v>302</v>
      </c>
    </row>
    <row r="39" spans="1:10">
      <c r="A39" s="17"/>
      <c r="B39" s="17" t="s">
        <v>303</v>
      </c>
      <c r="C39" s="19"/>
      <c r="D39" s="19"/>
      <c r="E39" s="19"/>
      <c r="F39" s="19"/>
      <c r="G39" s="34">
        <f>SUM(G30:G38)</f>
        <v>379000</v>
      </c>
      <c r="H39" s="19"/>
      <c r="I39" s="34">
        <f>SUM(I30:I38)</f>
        <v>400120</v>
      </c>
      <c r="J39" s="19"/>
    </row>
    <row r="41" spans="1:10">
      <c r="A41" s="35"/>
      <c r="B41" s="35" t="s">
        <v>304</v>
      </c>
      <c r="C41" s="36"/>
      <c r="D41" s="36"/>
      <c r="E41" s="36"/>
      <c r="F41" s="36"/>
      <c r="G41" s="37">
        <f>G10+G19+G28+G39</f>
        <v>1596000</v>
      </c>
      <c r="H41" s="36"/>
      <c r="I41" s="36"/>
      <c r="J41" s="36"/>
    </row>
    <row r="42" spans="1:10">
      <c r="A42" s="35"/>
      <c r="B42" s="35" t="s">
        <v>305</v>
      </c>
      <c r="C42" s="36"/>
      <c r="D42" s="36"/>
      <c r="E42" s="36"/>
      <c r="F42" s="36"/>
      <c r="G42" s="36"/>
      <c r="H42" s="36"/>
      <c r="I42" s="37">
        <f>I10+I19+I28+I39</f>
        <v>2119600</v>
      </c>
      <c r="J42" s="36"/>
    </row>
  </sheetData>
  <mergeCells count="4">
    <mergeCell ref="A2:J2"/>
    <mergeCell ref="A11:J11"/>
    <mergeCell ref="A20:J20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H78"/>
  <sheetViews>
    <sheetView tabSelected="1" topLeftCell="A2" zoomScaleNormal="100" workbookViewId="0">
      <selection activeCell="G76" sqref="G76"/>
    </sheetView>
  </sheetViews>
  <sheetFormatPr defaultColWidth="8.7109375" defaultRowHeight="15"/>
  <cols>
    <col min="1" max="1" width="12" customWidth="1"/>
    <col min="2" max="2" width="42" customWidth="1"/>
    <col min="3" max="3" width="40" customWidth="1"/>
    <col min="4" max="4" width="5" customWidth="1"/>
    <col min="5" max="5" width="14" customWidth="1"/>
    <col min="6" max="6" width="16" customWidth="1"/>
    <col min="7" max="7" width="10" customWidth="1"/>
    <col min="8" max="8" width="73.140625" bestFit="1" customWidth="1"/>
  </cols>
  <sheetData>
    <row r="1" spans="1:8">
      <c r="A1" s="15" t="s">
        <v>306</v>
      </c>
      <c r="B1" s="15" t="s">
        <v>307</v>
      </c>
      <c r="C1" s="15" t="s">
        <v>308</v>
      </c>
      <c r="D1" s="15" t="s">
        <v>208</v>
      </c>
      <c r="E1" s="15" t="s">
        <v>309</v>
      </c>
      <c r="F1" s="15" t="s">
        <v>310</v>
      </c>
      <c r="G1" s="15" t="s">
        <v>311</v>
      </c>
      <c r="H1" s="15" t="s">
        <v>72</v>
      </c>
    </row>
    <row r="2" spans="1:8">
      <c r="A2" s="81" t="s">
        <v>312</v>
      </c>
      <c r="B2" s="81"/>
      <c r="C2" s="81"/>
      <c r="D2" s="81"/>
      <c r="E2" s="81"/>
      <c r="F2" s="81"/>
      <c r="G2" s="81"/>
      <c r="H2" s="81"/>
    </row>
    <row r="3" spans="1:8">
      <c r="A3" s="1" t="s">
        <v>313</v>
      </c>
      <c r="B3" s="1" t="s">
        <v>314</v>
      </c>
      <c r="C3" s="1" t="s">
        <v>315</v>
      </c>
      <c r="D3" s="32">
        <v>1</v>
      </c>
      <c r="E3" s="2">
        <v>200000</v>
      </c>
      <c r="F3" s="2">
        <f>D3*E3</f>
        <v>200000</v>
      </c>
      <c r="G3" s="1" t="s">
        <v>316</v>
      </c>
      <c r="H3" s="1" t="s">
        <v>317</v>
      </c>
    </row>
    <row r="4" spans="1:8">
      <c r="A4" s="1" t="s">
        <v>313</v>
      </c>
      <c r="B4" s="1" t="s">
        <v>318</v>
      </c>
      <c r="C4" s="1"/>
      <c r="D4" s="32">
        <v>1</v>
      </c>
      <c r="E4" s="2">
        <v>15000</v>
      </c>
      <c r="F4" s="2">
        <f>D4*E4</f>
        <v>15000</v>
      </c>
      <c r="G4" s="1" t="s">
        <v>316</v>
      </c>
      <c r="H4" s="1" t="s">
        <v>319</v>
      </c>
    </row>
    <row r="5" spans="1:8">
      <c r="A5" s="1" t="s">
        <v>313</v>
      </c>
      <c r="B5" s="1" t="s">
        <v>320</v>
      </c>
      <c r="C5" s="1"/>
      <c r="D5" s="32">
        <v>1</v>
      </c>
      <c r="E5" s="2">
        <v>3000</v>
      </c>
      <c r="F5" s="2">
        <f>D5*E5</f>
        <v>3000</v>
      </c>
      <c r="G5" s="1" t="s">
        <v>321</v>
      </c>
      <c r="H5" s="1"/>
    </row>
    <row r="6" spans="1:8">
      <c r="A6" s="17"/>
      <c r="B6" s="17" t="s">
        <v>322</v>
      </c>
      <c r="C6" s="19"/>
      <c r="D6" s="19"/>
      <c r="E6" s="19"/>
      <c r="F6" s="34">
        <f>SUM(F3:F5)</f>
        <v>218000</v>
      </c>
      <c r="G6" s="19"/>
      <c r="H6" s="19"/>
    </row>
    <row r="7" spans="1:8">
      <c r="A7" s="81" t="s">
        <v>323</v>
      </c>
      <c r="B7" s="81"/>
      <c r="C7" s="81"/>
      <c r="D7" s="81"/>
      <c r="E7" s="81"/>
      <c r="F7" s="81"/>
      <c r="G7" s="81"/>
      <c r="H7" s="81"/>
    </row>
    <row r="8" spans="1:8">
      <c r="A8" s="1" t="s">
        <v>324</v>
      </c>
      <c r="B8" s="1" t="s">
        <v>325</v>
      </c>
      <c r="C8" s="1" t="s">
        <v>326</v>
      </c>
      <c r="D8" s="32">
        <v>1</v>
      </c>
      <c r="E8" s="2">
        <v>350000</v>
      </c>
      <c r="F8" s="2">
        <f>D8*E8</f>
        <v>350000</v>
      </c>
      <c r="G8" s="1" t="s">
        <v>327</v>
      </c>
      <c r="H8" s="1" t="s">
        <v>328</v>
      </c>
    </row>
    <row r="9" spans="1:8">
      <c r="A9" s="1" t="s">
        <v>324</v>
      </c>
      <c r="B9" s="1" t="s">
        <v>329</v>
      </c>
      <c r="C9" s="1" t="s">
        <v>330</v>
      </c>
      <c r="D9" s="32">
        <v>1</v>
      </c>
      <c r="E9" s="2">
        <v>60000</v>
      </c>
      <c r="F9" s="2">
        <f>D9*E9</f>
        <v>60000</v>
      </c>
      <c r="G9" s="1" t="s">
        <v>331</v>
      </c>
      <c r="H9" s="1" t="s">
        <v>332</v>
      </c>
    </row>
    <row r="10" spans="1:8">
      <c r="A10" s="1" t="s">
        <v>324</v>
      </c>
      <c r="B10" s="1" t="s">
        <v>333</v>
      </c>
      <c r="C10" s="1"/>
      <c r="D10" s="32">
        <v>1</v>
      </c>
      <c r="E10" s="2">
        <v>20000</v>
      </c>
      <c r="F10" s="2">
        <f>D10*E10</f>
        <v>20000</v>
      </c>
      <c r="G10" s="1" t="s">
        <v>334</v>
      </c>
      <c r="H10" s="1"/>
    </row>
    <row r="11" spans="1:8">
      <c r="A11" s="1" t="s">
        <v>324</v>
      </c>
      <c r="B11" s="1" t="s">
        <v>335</v>
      </c>
      <c r="C11" s="1" t="s">
        <v>336</v>
      </c>
      <c r="D11" s="32">
        <v>1</v>
      </c>
      <c r="E11" s="2">
        <v>15000</v>
      </c>
      <c r="F11" s="2">
        <f>D11*E11</f>
        <v>15000</v>
      </c>
      <c r="G11" s="1" t="s">
        <v>337</v>
      </c>
      <c r="H11" s="1"/>
    </row>
    <row r="12" spans="1:8">
      <c r="A12" s="1" t="s">
        <v>324</v>
      </c>
      <c r="B12" s="1" t="s">
        <v>338</v>
      </c>
      <c r="C12" s="1" t="s">
        <v>339</v>
      </c>
      <c r="D12" s="32">
        <v>1</v>
      </c>
      <c r="E12" s="2">
        <v>25000</v>
      </c>
      <c r="F12" s="2">
        <f>D12*E12</f>
        <v>25000</v>
      </c>
      <c r="G12" s="1" t="s">
        <v>334</v>
      </c>
      <c r="H12" s="1" t="s">
        <v>340</v>
      </c>
    </row>
    <row r="13" spans="1:8">
      <c r="A13" s="1" t="s">
        <v>324</v>
      </c>
      <c r="B13" s="1" t="s">
        <v>341</v>
      </c>
      <c r="C13" s="1" t="s">
        <v>342</v>
      </c>
      <c r="D13" s="32">
        <v>1</v>
      </c>
      <c r="E13" s="2">
        <v>30000</v>
      </c>
      <c r="F13" s="2">
        <f>D13*E13</f>
        <v>30000</v>
      </c>
      <c r="G13" s="1" t="s">
        <v>334</v>
      </c>
      <c r="H13" s="1" t="s">
        <v>343</v>
      </c>
    </row>
    <row r="14" spans="1:8">
      <c r="A14" s="1" t="s">
        <v>324</v>
      </c>
      <c r="B14" s="1" t="s">
        <v>344</v>
      </c>
      <c r="C14" s="1" t="s">
        <v>345</v>
      </c>
      <c r="D14" s="32">
        <v>1</v>
      </c>
      <c r="E14" s="2">
        <v>30000</v>
      </c>
      <c r="F14" s="2">
        <f>D14*E14</f>
        <v>30000</v>
      </c>
      <c r="G14" s="1" t="s">
        <v>331</v>
      </c>
      <c r="H14" s="1" t="s">
        <v>346</v>
      </c>
    </row>
    <row r="15" spans="1:8">
      <c r="A15" s="1" t="s">
        <v>324</v>
      </c>
      <c r="B15" s="1" t="s">
        <v>347</v>
      </c>
      <c r="C15" s="1" t="s">
        <v>348</v>
      </c>
      <c r="D15" s="32">
        <v>1</v>
      </c>
      <c r="E15" s="2">
        <v>25000</v>
      </c>
      <c r="F15" s="2">
        <f>D15*E15</f>
        <v>25000</v>
      </c>
      <c r="G15" s="1" t="s">
        <v>349</v>
      </c>
      <c r="H15" s="1" t="s">
        <v>350</v>
      </c>
    </row>
    <row r="16" spans="1:8">
      <c r="A16" s="1" t="s">
        <v>324</v>
      </c>
      <c r="B16" s="1" t="s">
        <v>351</v>
      </c>
      <c r="C16" s="1"/>
      <c r="D16" s="32">
        <v>1</v>
      </c>
      <c r="E16" s="2">
        <v>15000</v>
      </c>
      <c r="F16" s="2">
        <f>D16*E16</f>
        <v>15000</v>
      </c>
      <c r="G16" s="1" t="s">
        <v>334</v>
      </c>
      <c r="H16" s="1"/>
    </row>
    <row r="17" spans="1:8">
      <c r="A17" s="17"/>
      <c r="B17" s="17" t="s">
        <v>352</v>
      </c>
      <c r="C17" s="19"/>
      <c r="D17" s="19"/>
      <c r="E17" s="19"/>
      <c r="F17" s="34">
        <f>SUM(F8:F16)</f>
        <v>570000</v>
      </c>
      <c r="G17" s="19"/>
      <c r="H17" s="19"/>
    </row>
    <row r="18" spans="1:8">
      <c r="A18" s="81" t="s">
        <v>353</v>
      </c>
      <c r="B18" s="81"/>
      <c r="C18" s="81"/>
      <c r="D18" s="81"/>
      <c r="E18" s="81"/>
      <c r="F18" s="81"/>
      <c r="G18" s="81"/>
      <c r="H18" s="81"/>
    </row>
    <row r="19" spans="1:8">
      <c r="A19" s="1" t="s">
        <v>354</v>
      </c>
      <c r="B19" s="1" t="s">
        <v>355</v>
      </c>
      <c r="C19" s="1" t="s">
        <v>356</v>
      </c>
      <c r="D19" s="32">
        <v>1</v>
      </c>
      <c r="E19" s="2">
        <v>65000</v>
      </c>
      <c r="F19" s="2">
        <f>D19*E19</f>
        <v>65000</v>
      </c>
      <c r="G19" s="1" t="s">
        <v>357</v>
      </c>
      <c r="H19" s="1" t="s">
        <v>358</v>
      </c>
    </row>
    <row r="20" spans="1:8">
      <c r="A20" s="1" t="s">
        <v>354</v>
      </c>
      <c r="B20" s="1" t="s">
        <v>359</v>
      </c>
      <c r="C20" s="1" t="s">
        <v>356</v>
      </c>
      <c r="D20" s="32">
        <v>1</v>
      </c>
      <c r="E20" s="2">
        <v>65000</v>
      </c>
      <c r="F20" s="2">
        <f>D20*E20</f>
        <v>65000</v>
      </c>
      <c r="G20" s="1" t="s">
        <v>357</v>
      </c>
      <c r="H20" s="1" t="s">
        <v>360</v>
      </c>
    </row>
    <row r="21" spans="1:8">
      <c r="A21" s="1" t="s">
        <v>354</v>
      </c>
      <c r="B21" s="1" t="s">
        <v>361</v>
      </c>
      <c r="C21" s="1"/>
      <c r="D21" s="32">
        <v>1</v>
      </c>
      <c r="E21" s="2">
        <v>25000</v>
      </c>
      <c r="F21" s="2">
        <f>D21*E21</f>
        <v>25000</v>
      </c>
      <c r="G21" s="1" t="s">
        <v>357</v>
      </c>
      <c r="H21" s="1" t="s">
        <v>362</v>
      </c>
    </row>
    <row r="22" spans="1:8">
      <c r="A22" s="1" t="s">
        <v>354</v>
      </c>
      <c r="B22" s="1" t="s">
        <v>363</v>
      </c>
      <c r="C22" s="1"/>
      <c r="D22" s="32">
        <v>1</v>
      </c>
      <c r="E22" s="2">
        <v>18000</v>
      </c>
      <c r="F22" s="2">
        <f>D22*E22</f>
        <v>18000</v>
      </c>
      <c r="G22" s="1" t="s">
        <v>337</v>
      </c>
      <c r="H22" s="1" t="s">
        <v>364</v>
      </c>
    </row>
    <row r="23" spans="1:8">
      <c r="A23" s="1" t="s">
        <v>354</v>
      </c>
      <c r="B23" s="1" t="s">
        <v>365</v>
      </c>
      <c r="C23" s="1" t="s">
        <v>366</v>
      </c>
      <c r="D23" s="32">
        <v>1</v>
      </c>
      <c r="E23" s="2">
        <v>85000</v>
      </c>
      <c r="F23" s="2">
        <f>D23*E23</f>
        <v>85000</v>
      </c>
      <c r="G23" s="1" t="s">
        <v>367</v>
      </c>
      <c r="H23" s="1" t="s">
        <v>368</v>
      </c>
    </row>
    <row r="24" spans="1:8">
      <c r="A24" s="1" t="s">
        <v>354</v>
      </c>
      <c r="B24" s="1" t="s">
        <v>369</v>
      </c>
      <c r="C24" s="1"/>
      <c r="D24" s="32">
        <v>1</v>
      </c>
      <c r="E24" s="2">
        <v>5000</v>
      </c>
      <c r="F24" s="2">
        <f>D24*E24</f>
        <v>5000</v>
      </c>
      <c r="G24" s="1" t="s">
        <v>370</v>
      </c>
      <c r="H24" s="1"/>
    </row>
    <row r="25" spans="1:8">
      <c r="A25" s="1" t="s">
        <v>354</v>
      </c>
      <c r="B25" s="1" t="s">
        <v>371</v>
      </c>
      <c r="C25" s="1"/>
      <c r="D25" s="32">
        <v>1</v>
      </c>
      <c r="E25" s="2">
        <v>12000</v>
      </c>
      <c r="F25" s="2">
        <f>D25*E25</f>
        <v>12000</v>
      </c>
      <c r="G25" s="1" t="s">
        <v>372</v>
      </c>
      <c r="H25" s="1" t="s">
        <v>373</v>
      </c>
    </row>
    <row r="26" spans="1:8">
      <c r="A26" s="17"/>
      <c r="B26" s="17" t="s">
        <v>374</v>
      </c>
      <c r="C26" s="19"/>
      <c r="D26" s="19"/>
      <c r="E26" s="19"/>
      <c r="F26" s="34">
        <f>SUM(F19:F25)</f>
        <v>275000</v>
      </c>
      <c r="G26" s="19"/>
      <c r="H26" s="19"/>
    </row>
    <row r="27" spans="1:8">
      <c r="A27" s="81" t="s">
        <v>106</v>
      </c>
      <c r="B27" s="81"/>
      <c r="C27" s="81"/>
      <c r="D27" s="81"/>
      <c r="E27" s="81"/>
      <c r="F27" s="81"/>
      <c r="G27" s="81"/>
      <c r="H27" s="81"/>
    </row>
    <row r="28" spans="1:8">
      <c r="A28" s="1" t="s">
        <v>375</v>
      </c>
      <c r="B28" s="1" t="s">
        <v>376</v>
      </c>
      <c r="C28" s="1" t="s">
        <v>377</v>
      </c>
      <c r="D28" s="32">
        <v>1</v>
      </c>
      <c r="E28" s="2">
        <v>15000</v>
      </c>
      <c r="F28" s="2">
        <f>D28*E28</f>
        <v>15000</v>
      </c>
      <c r="G28" s="1" t="s">
        <v>357</v>
      </c>
      <c r="H28" s="1"/>
    </row>
    <row r="29" spans="1:8">
      <c r="A29" s="1" t="s">
        <v>375</v>
      </c>
      <c r="B29" s="1" t="s">
        <v>378</v>
      </c>
      <c r="C29" s="1" t="s">
        <v>379</v>
      </c>
      <c r="D29" s="32">
        <v>25</v>
      </c>
      <c r="E29" s="2">
        <v>800</v>
      </c>
      <c r="F29" s="2">
        <f>D29*E29</f>
        <v>20000</v>
      </c>
      <c r="G29" s="1" t="s">
        <v>334</v>
      </c>
      <c r="H29" s="1" t="s">
        <v>380</v>
      </c>
    </row>
    <row r="30" spans="1:8">
      <c r="A30" s="1" t="s">
        <v>375</v>
      </c>
      <c r="B30" s="1" t="s">
        <v>381</v>
      </c>
      <c r="C30" s="1" t="s">
        <v>382</v>
      </c>
      <c r="D30" s="32">
        <v>1</v>
      </c>
      <c r="E30" s="2">
        <v>8000</v>
      </c>
      <c r="F30" s="2">
        <f>D30*E30</f>
        <v>8000</v>
      </c>
      <c r="G30" s="1" t="s">
        <v>334</v>
      </c>
      <c r="H30" s="1" t="s">
        <v>383</v>
      </c>
    </row>
    <row r="31" spans="1:8">
      <c r="A31" s="1" t="s">
        <v>375</v>
      </c>
      <c r="B31" s="1" t="s">
        <v>384</v>
      </c>
      <c r="C31" s="1" t="s">
        <v>385</v>
      </c>
      <c r="D31" s="32">
        <v>1</v>
      </c>
      <c r="E31" s="2">
        <v>10000</v>
      </c>
      <c r="F31" s="2">
        <f>D31*E31</f>
        <v>10000</v>
      </c>
      <c r="G31" s="1" t="s">
        <v>337</v>
      </c>
      <c r="H31" s="1"/>
    </row>
    <row r="32" spans="1:8">
      <c r="A32" s="1" t="s">
        <v>375</v>
      </c>
      <c r="B32" s="1" t="s">
        <v>386</v>
      </c>
      <c r="C32" s="1" t="s">
        <v>387</v>
      </c>
      <c r="D32" s="32">
        <v>1</v>
      </c>
      <c r="E32" s="2">
        <v>20000</v>
      </c>
      <c r="F32" s="2">
        <f>D32*E32</f>
        <v>20000</v>
      </c>
      <c r="G32" s="1" t="s">
        <v>337</v>
      </c>
      <c r="H32" s="1" t="s">
        <v>388</v>
      </c>
    </row>
    <row r="33" spans="1:8">
      <c r="A33" s="17"/>
      <c r="B33" s="17" t="s">
        <v>389</v>
      </c>
      <c r="C33" s="19"/>
      <c r="D33" s="19"/>
      <c r="E33" s="19"/>
      <c r="F33" s="34">
        <f>SUM(F28:F32)</f>
        <v>73000</v>
      </c>
      <c r="G33" s="19"/>
      <c r="H33" s="19"/>
    </row>
    <row r="34" spans="1:8">
      <c r="A34" s="81" t="s">
        <v>186</v>
      </c>
      <c r="B34" s="81"/>
      <c r="C34" s="81"/>
      <c r="D34" s="81"/>
      <c r="E34" s="81"/>
      <c r="F34" s="81"/>
      <c r="G34" s="81"/>
      <c r="H34" s="81"/>
    </row>
    <row r="35" spans="1:8">
      <c r="A35" s="1" t="s">
        <v>390</v>
      </c>
      <c r="B35" s="1" t="s">
        <v>391</v>
      </c>
      <c r="C35" s="1" t="s">
        <v>392</v>
      </c>
      <c r="D35" s="32">
        <v>6</v>
      </c>
      <c r="E35" s="2">
        <v>2500</v>
      </c>
      <c r="F35" s="2">
        <f>D35*E35</f>
        <v>15000</v>
      </c>
      <c r="G35" s="1" t="s">
        <v>393</v>
      </c>
      <c r="H35" s="1"/>
    </row>
    <row r="36" spans="1:8">
      <c r="A36" s="1" t="s">
        <v>390</v>
      </c>
      <c r="B36" s="1" t="s">
        <v>394</v>
      </c>
      <c r="C36" s="1" t="s">
        <v>395</v>
      </c>
      <c r="D36" s="32">
        <v>2</v>
      </c>
      <c r="E36" s="2">
        <v>3000</v>
      </c>
      <c r="F36" s="2">
        <f>D36*E36</f>
        <v>6000</v>
      </c>
      <c r="G36" s="1" t="s">
        <v>393</v>
      </c>
      <c r="H36" s="1" t="s">
        <v>396</v>
      </c>
    </row>
    <row r="37" spans="1:8">
      <c r="A37" s="1" t="s">
        <v>390</v>
      </c>
      <c r="B37" s="1" t="s">
        <v>397</v>
      </c>
      <c r="C37" s="1" t="s">
        <v>398</v>
      </c>
      <c r="D37" s="32">
        <v>4</v>
      </c>
      <c r="E37" s="2">
        <v>1500</v>
      </c>
      <c r="F37" s="2">
        <f>D37*E37</f>
        <v>6000</v>
      </c>
      <c r="G37" s="1" t="s">
        <v>393</v>
      </c>
      <c r="H37" s="1" t="s">
        <v>399</v>
      </c>
    </row>
    <row r="38" spans="1:8">
      <c r="A38" s="17"/>
      <c r="B38" s="17" t="s">
        <v>400</v>
      </c>
      <c r="C38" s="19"/>
      <c r="D38" s="19"/>
      <c r="E38" s="19"/>
      <c r="F38" s="34">
        <f>SUM(F35:F37)</f>
        <v>27000</v>
      </c>
      <c r="G38" s="19"/>
      <c r="H38" s="19"/>
    </row>
    <row r="39" spans="1:8">
      <c r="A39" s="81" t="s">
        <v>401</v>
      </c>
      <c r="B39" s="81"/>
      <c r="C39" s="81"/>
      <c r="D39" s="81"/>
      <c r="E39" s="81"/>
      <c r="F39" s="81"/>
      <c r="G39" s="81"/>
      <c r="H39" s="81"/>
    </row>
    <row r="40" spans="1:8">
      <c r="A40" s="1" t="s">
        <v>402</v>
      </c>
      <c r="B40" s="1" t="s">
        <v>403</v>
      </c>
      <c r="C40" s="1" t="s">
        <v>404</v>
      </c>
      <c r="D40" s="32">
        <v>1</v>
      </c>
      <c r="E40" s="2">
        <v>8000</v>
      </c>
      <c r="F40" s="2">
        <f>D40*E40</f>
        <v>8000</v>
      </c>
      <c r="G40" s="1" t="s">
        <v>370</v>
      </c>
      <c r="H40" s="1"/>
    </row>
    <row r="41" spans="1:8">
      <c r="A41" s="1" t="s">
        <v>402</v>
      </c>
      <c r="B41" s="1" t="s">
        <v>405</v>
      </c>
      <c r="C41" s="1" t="s">
        <v>406</v>
      </c>
      <c r="D41" s="32">
        <v>1</v>
      </c>
      <c r="E41" s="2">
        <v>8000</v>
      </c>
      <c r="F41" s="2">
        <f>D41*E41</f>
        <v>8000</v>
      </c>
      <c r="G41" s="1" t="s">
        <v>337</v>
      </c>
      <c r="H41" s="1" t="s">
        <v>407</v>
      </c>
    </row>
    <row r="42" spans="1:8">
      <c r="A42" s="1" t="s">
        <v>402</v>
      </c>
      <c r="B42" s="1" t="s">
        <v>408</v>
      </c>
      <c r="C42" s="1" t="s">
        <v>409</v>
      </c>
      <c r="D42" s="32">
        <v>80</v>
      </c>
      <c r="E42" s="2">
        <v>100</v>
      </c>
      <c r="F42" s="2">
        <f>D42*E42</f>
        <v>8000</v>
      </c>
      <c r="G42" s="1" t="s">
        <v>393</v>
      </c>
      <c r="H42" s="1"/>
    </row>
    <row r="43" spans="1:8">
      <c r="A43" s="17"/>
      <c r="B43" s="17" t="s">
        <v>410</v>
      </c>
      <c r="C43" s="19"/>
      <c r="D43" s="19"/>
      <c r="E43" s="19"/>
      <c r="F43" s="34">
        <f>SUM(F40:F42)</f>
        <v>24000</v>
      </c>
      <c r="G43" s="19"/>
      <c r="H43" s="19"/>
    </row>
    <row r="44" spans="1:8">
      <c r="A44" s="81" t="s">
        <v>411</v>
      </c>
      <c r="B44" s="81"/>
      <c r="C44" s="81"/>
      <c r="D44" s="81"/>
      <c r="E44" s="81"/>
      <c r="F44" s="81"/>
      <c r="G44" s="81"/>
      <c r="H44" s="81"/>
    </row>
    <row r="45" spans="1:8">
      <c r="A45" s="1" t="s">
        <v>412</v>
      </c>
      <c r="B45" s="1" t="s">
        <v>413</v>
      </c>
      <c r="C45" s="1" t="s">
        <v>414</v>
      </c>
      <c r="D45" s="32">
        <v>5</v>
      </c>
      <c r="E45" s="2">
        <v>300000</v>
      </c>
      <c r="F45" s="2">
        <f>D45*E45</f>
        <v>1500000</v>
      </c>
      <c r="G45" s="1" t="s">
        <v>415</v>
      </c>
      <c r="H45" s="1" t="s">
        <v>416</v>
      </c>
    </row>
    <row r="46" spans="1:8">
      <c r="A46" s="1" t="s">
        <v>412</v>
      </c>
      <c r="B46" s="1" t="s">
        <v>417</v>
      </c>
      <c r="C46" s="1" t="s">
        <v>418</v>
      </c>
      <c r="D46" s="32">
        <v>1</v>
      </c>
      <c r="E46" s="2">
        <v>45000</v>
      </c>
      <c r="F46" s="2">
        <f>D46*E46</f>
        <v>45000</v>
      </c>
      <c r="G46" s="1" t="s">
        <v>321</v>
      </c>
      <c r="H46" s="1" t="s">
        <v>419</v>
      </c>
    </row>
    <row r="47" spans="1:8">
      <c r="A47" s="1" t="s">
        <v>412</v>
      </c>
      <c r="B47" s="1" t="s">
        <v>420</v>
      </c>
      <c r="C47" s="1" t="s">
        <v>418</v>
      </c>
      <c r="D47" s="32">
        <v>1</v>
      </c>
      <c r="E47" s="2">
        <v>35000</v>
      </c>
      <c r="F47" s="2">
        <f>D47*E47</f>
        <v>35000</v>
      </c>
      <c r="G47" s="1" t="s">
        <v>321</v>
      </c>
      <c r="H47" s="1" t="s">
        <v>421</v>
      </c>
    </row>
    <row r="48" spans="1:8">
      <c r="A48" s="1" t="s">
        <v>412</v>
      </c>
      <c r="B48" s="1" t="s">
        <v>422</v>
      </c>
      <c r="C48" s="1" t="s">
        <v>418</v>
      </c>
      <c r="D48" s="32">
        <v>1</v>
      </c>
      <c r="E48" s="2">
        <v>35000</v>
      </c>
      <c r="F48" s="2">
        <f>D48*E48</f>
        <v>35000</v>
      </c>
      <c r="G48" s="1" t="s">
        <v>321</v>
      </c>
      <c r="H48" s="1"/>
    </row>
    <row r="49" spans="1:8">
      <c r="A49" s="1" t="s">
        <v>412</v>
      </c>
      <c r="B49" s="1" t="s">
        <v>423</v>
      </c>
      <c r="C49" s="1" t="s">
        <v>418</v>
      </c>
      <c r="D49" s="32">
        <v>1</v>
      </c>
      <c r="E49" s="2">
        <v>30000</v>
      </c>
      <c r="F49" s="2">
        <f>D49*E49</f>
        <v>30000</v>
      </c>
      <c r="G49" s="1" t="s">
        <v>370</v>
      </c>
      <c r="H49" s="1"/>
    </row>
    <row r="50" spans="1:8">
      <c r="A50" s="1" t="s">
        <v>412</v>
      </c>
      <c r="B50" s="1" t="s">
        <v>424</v>
      </c>
      <c r="C50" s="1" t="s">
        <v>418</v>
      </c>
      <c r="D50" s="32">
        <v>1</v>
      </c>
      <c r="E50" s="2">
        <v>30000</v>
      </c>
      <c r="F50" s="2">
        <f>D50*E50</f>
        <v>30000</v>
      </c>
      <c r="G50" s="1" t="s">
        <v>15</v>
      </c>
      <c r="H50" s="1"/>
    </row>
    <row r="51" spans="1:8">
      <c r="A51" s="1" t="s">
        <v>412</v>
      </c>
      <c r="B51" s="1" t="s">
        <v>425</v>
      </c>
      <c r="C51" s="1" t="s">
        <v>418</v>
      </c>
      <c r="D51" s="32">
        <v>1</v>
      </c>
      <c r="E51" s="2">
        <v>30000</v>
      </c>
      <c r="F51" s="2">
        <f>D51*E51</f>
        <v>30000</v>
      </c>
      <c r="G51" s="1" t="s">
        <v>426</v>
      </c>
      <c r="H51" s="1"/>
    </row>
    <row r="52" spans="1:8">
      <c r="A52" s="1" t="s">
        <v>412</v>
      </c>
      <c r="B52" s="1" t="s">
        <v>427</v>
      </c>
      <c r="C52" s="1" t="s">
        <v>418</v>
      </c>
      <c r="D52" s="32">
        <v>1</v>
      </c>
      <c r="E52" s="2">
        <v>30000</v>
      </c>
      <c r="F52" s="2">
        <f>D52*E52</f>
        <v>30000</v>
      </c>
      <c r="G52" s="1" t="s">
        <v>428</v>
      </c>
      <c r="H52" s="1"/>
    </row>
    <row r="53" spans="1:8">
      <c r="A53" s="1" t="s">
        <v>412</v>
      </c>
      <c r="B53" s="1" t="s">
        <v>429</v>
      </c>
      <c r="C53" s="1" t="s">
        <v>430</v>
      </c>
      <c r="D53" s="32">
        <v>2</v>
      </c>
      <c r="E53" s="2">
        <v>25000</v>
      </c>
      <c r="F53" s="2">
        <f>D53*E53</f>
        <v>50000</v>
      </c>
      <c r="G53" s="1" t="s">
        <v>331</v>
      </c>
      <c r="H53" s="1"/>
    </row>
    <row r="54" spans="1:8">
      <c r="A54" s="17"/>
      <c r="B54" s="17" t="s">
        <v>431</v>
      </c>
      <c r="C54" s="19"/>
      <c r="D54" s="19"/>
      <c r="E54" s="19"/>
      <c r="F54" s="34">
        <f>SUM(F45:F53)</f>
        <v>1785000</v>
      </c>
      <c r="G54" s="19"/>
      <c r="H54" s="19"/>
    </row>
    <row r="55" spans="1:8">
      <c r="A55" s="81" t="s">
        <v>432</v>
      </c>
      <c r="B55" s="81"/>
      <c r="C55" s="81"/>
      <c r="D55" s="81"/>
      <c r="E55" s="81"/>
      <c r="F55" s="81"/>
      <c r="G55" s="81"/>
      <c r="H55" s="81"/>
    </row>
    <row r="56" spans="1:8">
      <c r="A56" s="1" t="s">
        <v>433</v>
      </c>
      <c r="B56" s="1" t="s">
        <v>434</v>
      </c>
      <c r="C56" s="1" t="s">
        <v>435</v>
      </c>
      <c r="D56" s="32">
        <v>1</v>
      </c>
      <c r="E56" s="2">
        <v>80000</v>
      </c>
      <c r="F56" s="2">
        <f>D56*E56</f>
        <v>80000</v>
      </c>
      <c r="G56" s="1" t="s">
        <v>436</v>
      </c>
      <c r="H56" s="1"/>
    </row>
    <row r="57" spans="1:8">
      <c r="A57" s="1" t="s">
        <v>433</v>
      </c>
      <c r="B57" s="1" t="s">
        <v>437</v>
      </c>
      <c r="C57" s="1" t="s">
        <v>438</v>
      </c>
      <c r="D57" s="32">
        <v>1</v>
      </c>
      <c r="E57" s="2">
        <v>15000</v>
      </c>
      <c r="F57" s="2">
        <f>D57*E57</f>
        <v>15000</v>
      </c>
      <c r="G57" s="1" t="s">
        <v>331</v>
      </c>
      <c r="H57" s="1"/>
    </row>
    <row r="58" spans="1:8">
      <c r="A58" s="1" t="s">
        <v>433</v>
      </c>
      <c r="B58" s="1" t="s">
        <v>439</v>
      </c>
      <c r="C58" s="1"/>
      <c r="D58" s="32">
        <v>1</v>
      </c>
      <c r="E58" s="2">
        <v>8000</v>
      </c>
      <c r="F58" s="2">
        <f>D58*E58</f>
        <v>8000</v>
      </c>
      <c r="G58" s="1" t="s">
        <v>370</v>
      </c>
      <c r="H58" s="1"/>
    </row>
    <row r="59" spans="1:8">
      <c r="A59" s="1" t="s">
        <v>433</v>
      </c>
      <c r="B59" s="1" t="s">
        <v>440</v>
      </c>
      <c r="C59" s="1" t="s">
        <v>441</v>
      </c>
      <c r="D59" s="32">
        <v>1</v>
      </c>
      <c r="E59" s="2">
        <v>12000</v>
      </c>
      <c r="F59" s="2">
        <f>D59*E59</f>
        <v>12000</v>
      </c>
      <c r="G59" s="1" t="s">
        <v>357</v>
      </c>
      <c r="H59" s="1"/>
    </row>
    <row r="60" spans="1:8">
      <c r="A60" s="17"/>
      <c r="B60" s="17" t="s">
        <v>442</v>
      </c>
      <c r="C60" s="19"/>
      <c r="D60" s="19"/>
      <c r="E60" s="19"/>
      <c r="F60" s="34">
        <f>SUM(F56:F59)</f>
        <v>115000</v>
      </c>
      <c r="G60" s="19"/>
      <c r="H60" s="19"/>
    </row>
    <row r="61" spans="1:8">
      <c r="A61" s="81" t="s">
        <v>443</v>
      </c>
      <c r="B61" s="81"/>
      <c r="C61" s="81"/>
      <c r="D61" s="81"/>
      <c r="E61" s="81"/>
      <c r="F61" s="81"/>
      <c r="G61" s="81"/>
      <c r="H61" s="81"/>
    </row>
    <row r="62" spans="1:8">
      <c r="A62" s="1" t="s">
        <v>444</v>
      </c>
      <c r="B62" s="1" t="s">
        <v>445</v>
      </c>
      <c r="C62" s="1"/>
      <c r="D62" s="32">
        <v>1</v>
      </c>
      <c r="E62" s="2">
        <v>5000</v>
      </c>
      <c r="F62" s="2">
        <f>D62*E62</f>
        <v>5000</v>
      </c>
      <c r="G62" s="1" t="s">
        <v>321</v>
      </c>
      <c r="H62" s="1"/>
    </row>
    <row r="63" spans="1:8">
      <c r="A63" s="1" t="s">
        <v>444</v>
      </c>
      <c r="B63" s="1" t="s">
        <v>446</v>
      </c>
      <c r="C63" s="1"/>
      <c r="D63" s="32">
        <v>1</v>
      </c>
      <c r="E63" s="2">
        <v>8000</v>
      </c>
      <c r="F63" s="2">
        <f>D63*E63</f>
        <v>8000</v>
      </c>
      <c r="G63" s="1" t="s">
        <v>370</v>
      </c>
      <c r="H63" s="1"/>
    </row>
    <row r="64" spans="1:8">
      <c r="A64" s="1" t="s">
        <v>444</v>
      </c>
      <c r="B64" s="1" t="s">
        <v>447</v>
      </c>
      <c r="C64" s="1"/>
      <c r="D64" s="32">
        <v>1</v>
      </c>
      <c r="E64" s="2">
        <v>15000</v>
      </c>
      <c r="F64" s="2">
        <f>D64*E64</f>
        <v>15000</v>
      </c>
      <c r="G64" s="1" t="s">
        <v>331</v>
      </c>
      <c r="H64" s="1"/>
    </row>
    <row r="65" spans="1:8">
      <c r="A65" s="1" t="s">
        <v>444</v>
      </c>
      <c r="B65" s="1" t="s">
        <v>448</v>
      </c>
      <c r="C65" s="1"/>
      <c r="D65" s="32">
        <v>1</v>
      </c>
      <c r="E65" s="2">
        <v>10000</v>
      </c>
      <c r="F65" s="2">
        <f>D65*E65</f>
        <v>10000</v>
      </c>
      <c r="G65" s="1" t="s">
        <v>449</v>
      </c>
      <c r="H65" s="1"/>
    </row>
    <row r="66" spans="1:8">
      <c r="A66" s="1" t="s">
        <v>444</v>
      </c>
      <c r="B66" s="1" t="s">
        <v>450</v>
      </c>
      <c r="C66" s="1"/>
      <c r="D66" s="32">
        <v>1</v>
      </c>
      <c r="E66" s="2">
        <v>15000</v>
      </c>
      <c r="F66" s="2">
        <f>D66*E66</f>
        <v>15000</v>
      </c>
      <c r="G66" s="1" t="s">
        <v>367</v>
      </c>
      <c r="H66" s="1"/>
    </row>
    <row r="67" spans="1:8">
      <c r="A67" s="1" t="s">
        <v>444</v>
      </c>
      <c r="B67" s="1" t="s">
        <v>451</v>
      </c>
      <c r="C67" s="1"/>
      <c r="D67" s="32">
        <v>1</v>
      </c>
      <c r="E67" s="2">
        <v>5000</v>
      </c>
      <c r="F67" s="2">
        <f>D67*E67</f>
        <v>5000</v>
      </c>
      <c r="G67" s="1" t="s">
        <v>452</v>
      </c>
      <c r="H67" s="1"/>
    </row>
    <row r="68" spans="1:8">
      <c r="A68" s="1" t="s">
        <v>444</v>
      </c>
      <c r="B68" s="1" t="s">
        <v>453</v>
      </c>
      <c r="C68" s="1" t="s">
        <v>454</v>
      </c>
      <c r="D68" s="32">
        <v>1</v>
      </c>
      <c r="E68" s="2">
        <v>10000</v>
      </c>
      <c r="F68" s="2">
        <f>D68*E68</f>
        <v>10000</v>
      </c>
      <c r="G68" s="1" t="s">
        <v>331</v>
      </c>
      <c r="H68" s="1"/>
    </row>
    <row r="69" spans="1:8">
      <c r="A69" s="1" t="s">
        <v>444</v>
      </c>
      <c r="B69" s="1" t="s">
        <v>455</v>
      </c>
      <c r="C69" s="1"/>
      <c r="D69" s="32">
        <v>1</v>
      </c>
      <c r="E69" s="2">
        <v>8000</v>
      </c>
      <c r="F69" s="2">
        <f>D69*E69</f>
        <v>8000</v>
      </c>
      <c r="G69" s="1" t="s">
        <v>415</v>
      </c>
      <c r="H69" s="1"/>
    </row>
    <row r="70" spans="1:8">
      <c r="A70" s="1" t="s">
        <v>444</v>
      </c>
      <c r="B70" s="1" t="s">
        <v>456</v>
      </c>
      <c r="C70" s="1"/>
      <c r="D70" s="32">
        <v>1</v>
      </c>
      <c r="E70" s="2">
        <v>15000</v>
      </c>
      <c r="F70" s="2">
        <f>D70*E70</f>
        <v>15000</v>
      </c>
      <c r="G70" s="1" t="s">
        <v>321</v>
      </c>
      <c r="H70" s="1"/>
    </row>
    <row r="71" spans="1:8">
      <c r="A71" s="17"/>
      <c r="B71" s="17" t="s">
        <v>457</v>
      </c>
      <c r="C71" s="19"/>
      <c r="D71" s="19"/>
      <c r="E71" s="19"/>
      <c r="F71" s="34">
        <f>SUM(F62:F70)</f>
        <v>91000</v>
      </c>
      <c r="G71" s="19"/>
      <c r="H71" s="19"/>
    </row>
    <row r="72" spans="1:8">
      <c r="A72" s="81" t="s">
        <v>458</v>
      </c>
      <c r="B72" s="81"/>
      <c r="C72" s="81"/>
      <c r="D72" s="81"/>
      <c r="E72" s="81"/>
      <c r="F72" s="81"/>
      <c r="G72" s="81"/>
      <c r="H72" s="81"/>
    </row>
    <row r="73" spans="1:8">
      <c r="A73" s="1" t="s">
        <v>459</v>
      </c>
      <c r="B73" s="1" t="s">
        <v>460</v>
      </c>
      <c r="C73" s="1" t="s">
        <v>461</v>
      </c>
      <c r="D73" s="32">
        <v>2</v>
      </c>
      <c r="E73" s="2">
        <v>7500</v>
      </c>
      <c r="F73" s="2">
        <f>D73*E73</f>
        <v>15000</v>
      </c>
      <c r="G73" s="1" t="s">
        <v>462</v>
      </c>
      <c r="H73" s="1"/>
    </row>
    <row r="74" spans="1:8">
      <c r="A74" s="1" t="s">
        <v>459</v>
      </c>
      <c r="B74" s="1" t="s">
        <v>463</v>
      </c>
      <c r="C74" s="1" t="s">
        <v>464</v>
      </c>
      <c r="D74" s="32">
        <v>20</v>
      </c>
      <c r="E74" s="2">
        <v>500</v>
      </c>
      <c r="F74" s="2">
        <f>D74*E74</f>
        <v>10000</v>
      </c>
      <c r="G74" s="1" t="s">
        <v>465</v>
      </c>
      <c r="H74" s="1"/>
    </row>
    <row r="75" spans="1:8">
      <c r="A75" s="1" t="s">
        <v>459</v>
      </c>
      <c r="B75" s="1" t="s">
        <v>466</v>
      </c>
      <c r="C75" s="1" t="s">
        <v>467</v>
      </c>
      <c r="D75" s="32">
        <v>1</v>
      </c>
      <c r="E75" s="2">
        <v>60000</v>
      </c>
      <c r="F75" s="2">
        <f>D75*E75</f>
        <v>60000</v>
      </c>
      <c r="G75" s="1" t="s">
        <v>468</v>
      </c>
      <c r="H75" s="1" t="s">
        <v>469</v>
      </c>
    </row>
    <row r="76" spans="1:8">
      <c r="A76" s="17"/>
      <c r="B76" s="17" t="s">
        <v>470</v>
      </c>
      <c r="C76" s="19"/>
      <c r="D76" s="19"/>
      <c r="E76" s="19"/>
      <c r="F76" s="34">
        <f>SUM(F73:F75)</f>
        <v>85000</v>
      </c>
      <c r="G76" s="19"/>
      <c r="H76" s="19"/>
    </row>
    <row r="78" spans="1:8" ht="26.85">
      <c r="A78" s="35"/>
      <c r="B78" s="35" t="s">
        <v>471</v>
      </c>
      <c r="C78" s="36"/>
      <c r="D78" s="36"/>
      <c r="E78" s="36"/>
      <c r="F78" s="37">
        <f>F6+F17+F26+F33+F38+F43+F54+F60+F71+F76</f>
        <v>3263000</v>
      </c>
      <c r="G78" s="36"/>
      <c r="H78" s="36"/>
    </row>
  </sheetData>
  <mergeCells count="10">
    <mergeCell ref="A2:H2"/>
    <mergeCell ref="A7:H7"/>
    <mergeCell ref="A18:H18"/>
    <mergeCell ref="A27:H27"/>
    <mergeCell ref="A34:H34"/>
    <mergeCell ref="A39:H39"/>
    <mergeCell ref="A44:H44"/>
    <mergeCell ref="A55:H55"/>
    <mergeCell ref="A61:H61"/>
    <mergeCell ref="A72:H7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L50"/>
  <sheetViews>
    <sheetView topLeftCell="A4" zoomScaleNormal="100" workbookViewId="0">
      <selection activeCell="L9" sqref="L9"/>
    </sheetView>
  </sheetViews>
  <sheetFormatPr defaultColWidth="8.7109375" defaultRowHeight="15"/>
  <cols>
    <col min="1" max="1" width="10" customWidth="1"/>
    <col min="2" max="2" width="44" customWidth="1"/>
    <col min="3" max="3" width="5" customWidth="1"/>
    <col min="4" max="4" width="14" customWidth="1"/>
    <col min="5" max="5" width="16" customWidth="1"/>
    <col min="6" max="8" width="12" customWidth="1"/>
    <col min="9" max="9" width="18" customWidth="1"/>
    <col min="10" max="10" width="8" customWidth="1"/>
    <col min="11" max="11" width="45.7109375" customWidth="1"/>
    <col min="12" max="12" width="60.42578125" bestFit="1" customWidth="1"/>
  </cols>
  <sheetData>
    <row r="1" spans="1:12">
      <c r="A1" s="15" t="s">
        <v>306</v>
      </c>
      <c r="B1" s="15" t="s">
        <v>472</v>
      </c>
      <c r="C1" s="15" t="s">
        <v>473</v>
      </c>
      <c r="D1" s="15" t="s">
        <v>474</v>
      </c>
      <c r="E1" s="15" t="s">
        <v>475</v>
      </c>
      <c r="F1" s="15" t="s">
        <v>476</v>
      </c>
      <c r="G1" s="15" t="s">
        <v>477</v>
      </c>
      <c r="H1" s="15" t="s">
        <v>478</v>
      </c>
      <c r="I1" s="15" t="s">
        <v>479</v>
      </c>
      <c r="J1" s="15" t="s">
        <v>480</v>
      </c>
      <c r="K1" s="15" t="s">
        <v>481</v>
      </c>
      <c r="L1" s="15" t="s">
        <v>482</v>
      </c>
    </row>
    <row r="2" spans="1:12">
      <c r="A2" s="81" t="s">
        <v>483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75"/>
    </row>
    <row r="3" spans="1:12">
      <c r="A3" s="38" t="s">
        <v>484</v>
      </c>
      <c r="B3" s="38" t="s">
        <v>485</v>
      </c>
      <c r="C3" s="39">
        <v>1</v>
      </c>
      <c r="D3" s="40">
        <v>20000</v>
      </c>
      <c r="E3" s="2">
        <f>C3*D3*12</f>
        <v>240000</v>
      </c>
      <c r="F3" s="2">
        <f>E3*Assumptions!B37</f>
        <v>60000</v>
      </c>
      <c r="G3" s="2">
        <f>E3*0.05</f>
        <v>12000</v>
      </c>
      <c r="H3" s="2">
        <f>E3*0.1</f>
        <v>24000</v>
      </c>
      <c r="I3" s="2">
        <f>E3+F3+G3+H3</f>
        <v>336000</v>
      </c>
      <c r="J3" s="38" t="s">
        <v>486</v>
      </c>
      <c r="K3" s="38" t="s">
        <v>487</v>
      </c>
      <c r="L3" s="88" t="s">
        <v>488</v>
      </c>
    </row>
    <row r="4" spans="1:12">
      <c r="A4" s="38" t="s">
        <v>484</v>
      </c>
      <c r="B4" s="38" t="s">
        <v>489</v>
      </c>
      <c r="C4" s="39">
        <v>1</v>
      </c>
      <c r="D4" s="40">
        <v>8000</v>
      </c>
      <c r="E4" s="2">
        <f>C4*D4*12</f>
        <v>96000</v>
      </c>
      <c r="F4" s="2">
        <f>E4*Assumptions!B37</f>
        <v>24000</v>
      </c>
      <c r="G4" s="2">
        <f>E4*0.05</f>
        <v>4800</v>
      </c>
      <c r="H4" s="2">
        <f>E4*0.1</f>
        <v>9600</v>
      </c>
      <c r="I4" s="2">
        <f>E4+F4+G4+H4</f>
        <v>134400</v>
      </c>
      <c r="J4" s="38" t="s">
        <v>486</v>
      </c>
      <c r="K4" s="38" t="s">
        <v>490</v>
      </c>
      <c r="L4" s="87" t="s">
        <v>491</v>
      </c>
    </row>
    <row r="5" spans="1:12">
      <c r="A5" s="38" t="s">
        <v>484</v>
      </c>
      <c r="B5" s="38" t="s">
        <v>492</v>
      </c>
      <c r="C5" s="39">
        <v>1</v>
      </c>
      <c r="D5" s="40">
        <v>7000</v>
      </c>
      <c r="E5" s="2">
        <f>C5*D5*12</f>
        <v>84000</v>
      </c>
      <c r="F5" s="2">
        <f>E5*Assumptions!B37</f>
        <v>21000</v>
      </c>
      <c r="G5" s="2">
        <f>E5*0.05</f>
        <v>4200</v>
      </c>
      <c r="H5" s="2">
        <f>E5*0.1</f>
        <v>8400</v>
      </c>
      <c r="I5" s="2">
        <f>E5+F5+G5+H5</f>
        <v>117600</v>
      </c>
      <c r="J5" s="38" t="s">
        <v>486</v>
      </c>
      <c r="K5" s="38" t="s">
        <v>493</v>
      </c>
      <c r="L5" s="87" t="s">
        <v>494</v>
      </c>
    </row>
    <row r="6" spans="1:12">
      <c r="A6" s="38" t="s">
        <v>484</v>
      </c>
      <c r="B6" s="38" t="s">
        <v>495</v>
      </c>
      <c r="C6" s="39">
        <v>1</v>
      </c>
      <c r="D6" s="40">
        <v>5000</v>
      </c>
      <c r="E6" s="2">
        <f>C6*D6*12</f>
        <v>60000</v>
      </c>
      <c r="F6" s="2">
        <f>E6*Assumptions!B37</f>
        <v>15000</v>
      </c>
      <c r="G6" s="2">
        <f>E6*0.05</f>
        <v>3000</v>
      </c>
      <c r="H6" s="2">
        <f>E6*0.5</f>
        <v>30000</v>
      </c>
      <c r="I6" s="2">
        <f>E6+F6+G6+H6</f>
        <v>108000</v>
      </c>
      <c r="J6" s="38" t="s">
        <v>486</v>
      </c>
      <c r="K6" s="38" t="s">
        <v>496</v>
      </c>
      <c r="L6" s="87" t="s">
        <v>497</v>
      </c>
    </row>
    <row r="7" spans="1:12">
      <c r="A7" s="38" t="s">
        <v>484</v>
      </c>
      <c r="B7" s="38" t="s">
        <v>498</v>
      </c>
      <c r="C7" s="39">
        <v>1</v>
      </c>
      <c r="D7" s="40">
        <v>4000</v>
      </c>
      <c r="E7" s="2">
        <f>C7*D7*12</f>
        <v>48000</v>
      </c>
      <c r="F7" s="2">
        <f>E7*Assumptions!B37</f>
        <v>12000</v>
      </c>
      <c r="G7" s="2">
        <f>E7*0.05</f>
        <v>2400</v>
      </c>
      <c r="H7" s="2">
        <f>E7*1</f>
        <v>48000</v>
      </c>
      <c r="I7" s="2">
        <f>E7+F7+G7+H7</f>
        <v>110400</v>
      </c>
      <c r="J7" s="38" t="s">
        <v>486</v>
      </c>
      <c r="K7" s="38" t="s">
        <v>499</v>
      </c>
      <c r="L7" s="87" t="s">
        <v>500</v>
      </c>
    </row>
    <row r="8" spans="1:12">
      <c r="A8" s="38" t="s">
        <v>484</v>
      </c>
      <c r="B8" s="38" t="s">
        <v>501</v>
      </c>
      <c r="C8" s="39">
        <v>1</v>
      </c>
      <c r="D8" s="40">
        <v>4000</v>
      </c>
      <c r="E8" s="2">
        <f>C8*D8*12</f>
        <v>48000</v>
      </c>
      <c r="F8" s="2">
        <f>E8*Assumptions!B37</f>
        <v>12000</v>
      </c>
      <c r="G8" s="2">
        <f>E8*0.05</f>
        <v>2400</v>
      </c>
      <c r="H8" s="2">
        <f>E8*0.1</f>
        <v>4800</v>
      </c>
      <c r="I8" s="2">
        <f>E8+F8+G8+H8</f>
        <v>67200</v>
      </c>
      <c r="J8" s="38" t="s">
        <v>486</v>
      </c>
      <c r="K8" s="38" t="s">
        <v>502</v>
      </c>
      <c r="L8" s="87" t="s">
        <v>503</v>
      </c>
    </row>
    <row r="9" spans="1:12">
      <c r="A9" s="38" t="s">
        <v>484</v>
      </c>
      <c r="B9" s="38" t="s">
        <v>504</v>
      </c>
      <c r="C9" s="39">
        <v>1</v>
      </c>
      <c r="D9" s="40">
        <v>5000</v>
      </c>
      <c r="E9" s="2">
        <f>C9*D9*12</f>
        <v>60000</v>
      </c>
      <c r="F9" s="2">
        <f>E9*Assumptions!B37</f>
        <v>15000</v>
      </c>
      <c r="G9" s="2">
        <f>E9*0.05</f>
        <v>3000</v>
      </c>
      <c r="H9" s="2">
        <f>E9*0.1</f>
        <v>6000</v>
      </c>
      <c r="I9" s="2">
        <f>E9+F9+G9+H9</f>
        <v>84000</v>
      </c>
      <c r="J9" s="38" t="s">
        <v>486</v>
      </c>
      <c r="K9" s="38" t="s">
        <v>505</v>
      </c>
      <c r="L9" s="38"/>
    </row>
    <row r="10" spans="1:12">
      <c r="A10" s="17"/>
      <c r="B10" s="17" t="s">
        <v>506</v>
      </c>
      <c r="C10" s="41">
        <f>SUM(C3:C9)</f>
        <v>7</v>
      </c>
      <c r="D10" s="19"/>
      <c r="E10" s="19"/>
      <c r="F10" s="19"/>
      <c r="G10" s="19"/>
      <c r="H10" s="19"/>
      <c r="I10" s="34">
        <f>SUM(I3:I9)</f>
        <v>957600</v>
      </c>
      <c r="J10" s="19"/>
      <c r="K10" s="19"/>
      <c r="L10" s="19"/>
    </row>
    <row r="11" spans="1:12">
      <c r="A11" s="81" t="s">
        <v>507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75"/>
    </row>
    <row r="12" spans="1:12">
      <c r="A12" s="38" t="s">
        <v>508</v>
      </c>
      <c r="B12" s="38" t="s">
        <v>509</v>
      </c>
      <c r="C12" s="39">
        <v>1</v>
      </c>
      <c r="D12" s="40">
        <v>3500</v>
      </c>
      <c r="E12" s="2">
        <f>C12*D12*12</f>
        <v>42000</v>
      </c>
      <c r="F12" s="2">
        <f>E12*Assumptions!B37</f>
        <v>10500</v>
      </c>
      <c r="G12" s="2">
        <f>E12*0.05</f>
        <v>2100</v>
      </c>
      <c r="H12" s="2">
        <f>E12*0.1</f>
        <v>4200</v>
      </c>
      <c r="I12" s="2">
        <f>E12+F12+G12+H12</f>
        <v>58800</v>
      </c>
      <c r="J12" s="38" t="s">
        <v>510</v>
      </c>
      <c r="K12" s="38" t="s">
        <v>511</v>
      </c>
      <c r="L12" s="38"/>
    </row>
    <row r="13" spans="1:12">
      <c r="A13" s="38" t="s">
        <v>508</v>
      </c>
      <c r="B13" s="38" t="s">
        <v>512</v>
      </c>
      <c r="C13" s="39">
        <v>1</v>
      </c>
      <c r="D13" s="40">
        <v>3000</v>
      </c>
      <c r="E13" s="2">
        <f>C13*D13*12</f>
        <v>36000</v>
      </c>
      <c r="F13" s="2">
        <f>E13*Assumptions!B37</f>
        <v>9000</v>
      </c>
      <c r="G13" s="2">
        <f>E13*0.05</f>
        <v>1800</v>
      </c>
      <c r="H13" s="2">
        <f>E13*0.1</f>
        <v>3600</v>
      </c>
      <c r="I13" s="2">
        <f>E13+F13+G13+H13</f>
        <v>50400</v>
      </c>
      <c r="J13" s="38" t="s">
        <v>510</v>
      </c>
      <c r="K13" s="38" t="s">
        <v>513</v>
      </c>
      <c r="L13" s="38"/>
    </row>
    <row r="14" spans="1:12">
      <c r="A14" s="38" t="s">
        <v>508</v>
      </c>
      <c r="B14" s="38" t="s">
        <v>514</v>
      </c>
      <c r="C14" s="39">
        <v>1</v>
      </c>
      <c r="D14" s="40">
        <v>3500</v>
      </c>
      <c r="E14" s="2">
        <f>C14*D14*12</f>
        <v>42000</v>
      </c>
      <c r="F14" s="2">
        <f>E14*Assumptions!B37</f>
        <v>10500</v>
      </c>
      <c r="G14" s="2">
        <f>E14*0.05</f>
        <v>2100</v>
      </c>
      <c r="H14" s="2">
        <f>E14*0.1</f>
        <v>4200</v>
      </c>
      <c r="I14" s="2">
        <f>E14+F14+G14+H14</f>
        <v>58800</v>
      </c>
      <c r="J14" s="38" t="s">
        <v>510</v>
      </c>
      <c r="K14" s="38" t="s">
        <v>511</v>
      </c>
      <c r="L14" s="38"/>
    </row>
    <row r="15" spans="1:12">
      <c r="A15" s="38" t="s">
        <v>508</v>
      </c>
      <c r="B15" s="38" t="s">
        <v>515</v>
      </c>
      <c r="C15" s="39">
        <v>1</v>
      </c>
      <c r="D15" s="40">
        <v>3000</v>
      </c>
      <c r="E15" s="2">
        <f>C15*D15*12</f>
        <v>36000</v>
      </c>
      <c r="F15" s="2">
        <f>E15*Assumptions!B37</f>
        <v>9000</v>
      </c>
      <c r="G15" s="2">
        <f>E15*0.05</f>
        <v>1800</v>
      </c>
      <c r="H15" s="2">
        <f>E15*0.1</f>
        <v>3600</v>
      </c>
      <c r="I15" s="2">
        <f>E15+F15+G15+H15</f>
        <v>50400</v>
      </c>
      <c r="J15" s="38" t="s">
        <v>510</v>
      </c>
      <c r="K15" s="38" t="s">
        <v>426</v>
      </c>
      <c r="L15" s="38"/>
    </row>
    <row r="16" spans="1:12">
      <c r="A16" s="38" t="s">
        <v>508</v>
      </c>
      <c r="B16" s="38" t="s">
        <v>516</v>
      </c>
      <c r="C16" s="39">
        <v>1</v>
      </c>
      <c r="D16" s="40">
        <v>2500</v>
      </c>
      <c r="E16" s="2">
        <f>C16*D16*12</f>
        <v>30000</v>
      </c>
      <c r="F16" s="2">
        <f>E16*Assumptions!B37</f>
        <v>7500</v>
      </c>
      <c r="G16" s="2">
        <f>E16*0.05</f>
        <v>1500</v>
      </c>
      <c r="H16" s="2">
        <f>E16*0.1</f>
        <v>3000</v>
      </c>
      <c r="I16" s="2">
        <f>E16+F16+G16+H16</f>
        <v>42000</v>
      </c>
      <c r="J16" s="38" t="s">
        <v>510</v>
      </c>
      <c r="K16" s="38" t="s">
        <v>513</v>
      </c>
      <c r="L16" s="38"/>
    </row>
    <row r="17" spans="1:12">
      <c r="A17" s="38" t="s">
        <v>508</v>
      </c>
      <c r="B17" s="38" t="s">
        <v>517</v>
      </c>
      <c r="C17" s="39">
        <v>1</v>
      </c>
      <c r="D17" s="40">
        <v>2500</v>
      </c>
      <c r="E17" s="2">
        <f>C17*D17*12</f>
        <v>30000</v>
      </c>
      <c r="F17" s="2">
        <f>E17*Assumptions!B37</f>
        <v>7500</v>
      </c>
      <c r="G17" s="2">
        <f>E17*0.05</f>
        <v>1500</v>
      </c>
      <c r="H17" s="2">
        <f>E17*0.1</f>
        <v>3000</v>
      </c>
      <c r="I17" s="2">
        <f>E17+F17+G17+H17</f>
        <v>42000</v>
      </c>
      <c r="J17" s="38" t="s">
        <v>510</v>
      </c>
      <c r="K17" s="38" t="s">
        <v>15</v>
      </c>
      <c r="L17" s="38"/>
    </row>
    <row r="18" spans="1:12">
      <c r="A18" s="17"/>
      <c r="B18" s="17" t="s">
        <v>506</v>
      </c>
      <c r="C18" s="41">
        <f>SUM(C12:C17)</f>
        <v>6</v>
      </c>
      <c r="D18" s="19"/>
      <c r="E18" s="19"/>
      <c r="F18" s="19"/>
      <c r="G18" s="19"/>
      <c r="H18" s="19"/>
      <c r="I18" s="34">
        <f>SUM(I12:I17)</f>
        <v>302400</v>
      </c>
      <c r="J18" s="19"/>
      <c r="K18" s="19"/>
      <c r="L18" s="19"/>
    </row>
    <row r="19" spans="1:12">
      <c r="A19" s="81" t="s">
        <v>432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75"/>
    </row>
    <row r="20" spans="1:12">
      <c r="A20" s="38" t="s">
        <v>433</v>
      </c>
      <c r="B20" s="38" t="s">
        <v>518</v>
      </c>
      <c r="C20" s="39">
        <v>1</v>
      </c>
      <c r="D20" s="40">
        <v>3500</v>
      </c>
      <c r="E20" s="2">
        <f>C20*D20*12</f>
        <v>42000</v>
      </c>
      <c r="F20" s="2">
        <f>E20*Assumptions!B37</f>
        <v>10500</v>
      </c>
      <c r="G20" s="2">
        <f>E20*0.05</f>
        <v>2100</v>
      </c>
      <c r="H20" s="2">
        <f>E20*0.1</f>
        <v>4200</v>
      </c>
      <c r="I20" s="2">
        <f>E20+F20+G20+H20</f>
        <v>58800</v>
      </c>
      <c r="J20" s="38" t="s">
        <v>510</v>
      </c>
      <c r="K20" s="38" t="s">
        <v>370</v>
      </c>
      <c r="L20" s="38"/>
    </row>
    <row r="21" spans="1:12">
      <c r="A21" s="38" t="s">
        <v>433</v>
      </c>
      <c r="B21" s="38" t="s">
        <v>519</v>
      </c>
      <c r="C21" s="39">
        <v>2</v>
      </c>
      <c r="D21" s="40">
        <v>2000</v>
      </c>
      <c r="E21" s="2">
        <f>C21*D21*12</f>
        <v>48000</v>
      </c>
      <c r="F21" s="2">
        <f>E21*Assumptions!B37</f>
        <v>12000</v>
      </c>
      <c r="G21" s="2">
        <f>E21*0.05</f>
        <v>2400</v>
      </c>
      <c r="H21" s="40">
        <v>0</v>
      </c>
      <c r="I21" s="2">
        <f>E21+F21+G21+H21</f>
        <v>62400</v>
      </c>
      <c r="J21" s="38" t="s">
        <v>510</v>
      </c>
      <c r="K21" s="38" t="s">
        <v>426</v>
      </c>
      <c r="L21" s="38"/>
    </row>
    <row r="22" spans="1:12">
      <c r="A22" s="17"/>
      <c r="B22" s="17" t="s">
        <v>506</v>
      </c>
      <c r="C22" s="41">
        <f>SUM(C20:C21)</f>
        <v>3</v>
      </c>
      <c r="D22" s="19"/>
      <c r="E22" s="19"/>
      <c r="F22" s="19"/>
      <c r="G22" s="19"/>
      <c r="H22" s="19"/>
      <c r="I22" s="34">
        <f>SUM(I20:I21)</f>
        <v>121200</v>
      </c>
      <c r="J22" s="19"/>
      <c r="K22" s="19"/>
      <c r="L22" s="19"/>
    </row>
    <row r="23" spans="1:12">
      <c r="A23" s="81" t="s">
        <v>520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75"/>
    </row>
    <row r="24" spans="1:12">
      <c r="A24" s="38" t="s">
        <v>521</v>
      </c>
      <c r="B24" s="38" t="s">
        <v>522</v>
      </c>
      <c r="C24" s="39">
        <v>1</v>
      </c>
      <c r="D24" s="40">
        <v>2000</v>
      </c>
      <c r="E24" s="2">
        <f>C24*D24*12</f>
        <v>24000</v>
      </c>
      <c r="F24" s="2">
        <f>E24*Assumptions!B37</f>
        <v>6000</v>
      </c>
      <c r="G24" s="2">
        <f>E24*0.05</f>
        <v>1200</v>
      </c>
      <c r="H24" s="40">
        <v>0</v>
      </c>
      <c r="I24" s="2">
        <f>E24+F24+G24+H24</f>
        <v>31200</v>
      </c>
      <c r="J24" s="38" t="s">
        <v>510</v>
      </c>
      <c r="K24" s="38" t="s">
        <v>523</v>
      </c>
      <c r="L24" s="38"/>
    </row>
    <row r="25" spans="1:12">
      <c r="A25" s="38" t="s">
        <v>521</v>
      </c>
      <c r="B25" s="38" t="s">
        <v>524</v>
      </c>
      <c r="C25" s="39">
        <v>1</v>
      </c>
      <c r="D25" s="40">
        <v>1500</v>
      </c>
      <c r="E25" s="2">
        <f>C25*D25*12</f>
        <v>18000</v>
      </c>
      <c r="F25" s="2">
        <f>E25*Assumptions!B37</f>
        <v>4500</v>
      </c>
      <c r="G25" s="2">
        <f>E25*0.05</f>
        <v>900</v>
      </c>
      <c r="H25" s="40">
        <v>0</v>
      </c>
      <c r="I25" s="2">
        <f>E25+F25+G25+H25</f>
        <v>23400</v>
      </c>
      <c r="J25" s="38" t="s">
        <v>510</v>
      </c>
      <c r="K25" s="38" t="s">
        <v>513</v>
      </c>
      <c r="L25" s="38"/>
    </row>
    <row r="26" spans="1:12">
      <c r="A26" s="17"/>
      <c r="B26" s="17" t="s">
        <v>506</v>
      </c>
      <c r="C26" s="41">
        <f>SUM(C24:C25)</f>
        <v>2</v>
      </c>
      <c r="D26" s="19"/>
      <c r="E26" s="19"/>
      <c r="F26" s="19"/>
      <c r="G26" s="19"/>
      <c r="H26" s="19"/>
      <c r="I26" s="34">
        <f>SUM(I24:I25)</f>
        <v>54600</v>
      </c>
      <c r="J26" s="19"/>
      <c r="K26" s="19"/>
      <c r="L26" s="19"/>
    </row>
    <row r="27" spans="1:12">
      <c r="A27" s="81" t="s">
        <v>525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75"/>
    </row>
    <row r="28" spans="1:12">
      <c r="A28" s="38" t="s">
        <v>526</v>
      </c>
      <c r="B28" s="38" t="s">
        <v>527</v>
      </c>
      <c r="C28" s="39">
        <v>1</v>
      </c>
      <c r="D28" s="40">
        <v>2000</v>
      </c>
      <c r="E28" s="77">
        <f>C28*D28*12</f>
        <v>24000</v>
      </c>
      <c r="F28" s="77">
        <f>E28*Assumptions!B37</f>
        <v>6000</v>
      </c>
      <c r="G28" s="77">
        <f>E28*0.05</f>
        <v>1200</v>
      </c>
      <c r="H28" s="77">
        <f>E28*0.5</f>
        <v>12000</v>
      </c>
      <c r="I28" s="2">
        <f>E28+F28+G28+H28</f>
        <v>43200</v>
      </c>
      <c r="J28" s="38" t="s">
        <v>510</v>
      </c>
      <c r="K28" s="38" t="s">
        <v>15</v>
      </c>
      <c r="L28" s="87" t="s">
        <v>528</v>
      </c>
    </row>
    <row r="29" spans="1:12">
      <c r="A29" s="38" t="s">
        <v>526</v>
      </c>
      <c r="B29" s="38" t="s">
        <v>529</v>
      </c>
      <c r="C29" s="39">
        <v>1</v>
      </c>
      <c r="D29" s="40">
        <v>2000</v>
      </c>
      <c r="E29" s="77">
        <f>C29*D29*12</f>
        <v>24000</v>
      </c>
      <c r="F29" s="77">
        <f>E29*Assumptions!B37</f>
        <v>6000</v>
      </c>
      <c r="G29" s="77">
        <f>E29*0.05</f>
        <v>1200</v>
      </c>
      <c r="H29" s="77">
        <f>E29*0.5</f>
        <v>12000</v>
      </c>
      <c r="I29" s="2">
        <f>E29+F29+G29+H29</f>
        <v>43200</v>
      </c>
      <c r="J29" s="38" t="s">
        <v>510</v>
      </c>
      <c r="K29" s="38" t="s">
        <v>15</v>
      </c>
      <c r="L29" s="87" t="s">
        <v>530</v>
      </c>
    </row>
    <row r="30" spans="1:12">
      <c r="A30" s="38" t="s">
        <v>526</v>
      </c>
      <c r="B30" s="38" t="s">
        <v>531</v>
      </c>
      <c r="C30" s="39">
        <v>1</v>
      </c>
      <c r="D30" s="40">
        <v>2000</v>
      </c>
      <c r="E30" s="78">
        <f>C30*D30*12</f>
        <v>24000</v>
      </c>
      <c r="F30" s="78">
        <f>E30*Assumptions!B37</f>
        <v>6000</v>
      </c>
      <c r="G30" s="78">
        <f>E30*0.05</f>
        <v>1200</v>
      </c>
      <c r="H30" s="78">
        <f>E30*0.5</f>
        <v>12000</v>
      </c>
      <c r="I30" s="2">
        <f>E30+F30+G30+H30</f>
        <v>43200</v>
      </c>
      <c r="J30" s="38" t="s">
        <v>510</v>
      </c>
      <c r="K30" s="38" t="s">
        <v>15</v>
      </c>
      <c r="L30" s="87" t="s">
        <v>532</v>
      </c>
    </row>
    <row r="31" spans="1:12">
      <c r="A31" s="38" t="s">
        <v>526</v>
      </c>
      <c r="B31" s="38" t="s">
        <v>533</v>
      </c>
      <c r="C31" s="39">
        <v>1</v>
      </c>
      <c r="D31" s="40">
        <v>1800</v>
      </c>
      <c r="E31" s="2">
        <f t="shared" ref="E31" si="0">C31*D31*12</f>
        <v>21600</v>
      </c>
      <c r="F31" s="2">
        <f>E31*Assumptions!B37</f>
        <v>5400</v>
      </c>
      <c r="G31" s="2">
        <f>E31*0.05</f>
        <v>1080</v>
      </c>
      <c r="H31" s="2">
        <f>E31*0.5</f>
        <v>10800</v>
      </c>
      <c r="I31" s="2">
        <f t="shared" ref="I30:I31" si="1">E31+F31+G31+H31</f>
        <v>38880</v>
      </c>
      <c r="J31" s="38" t="s">
        <v>510</v>
      </c>
      <c r="K31" s="38" t="s">
        <v>15</v>
      </c>
      <c r="L31" s="87" t="s">
        <v>534</v>
      </c>
    </row>
    <row r="32" spans="1:12">
      <c r="A32" s="17"/>
      <c r="B32" s="17" t="s">
        <v>506</v>
      </c>
      <c r="C32" s="41">
        <f>SUM(C28:C31)</f>
        <v>4</v>
      </c>
      <c r="D32" s="19"/>
      <c r="E32" s="19"/>
      <c r="F32" s="19"/>
      <c r="G32" s="19"/>
      <c r="H32" s="19"/>
      <c r="I32" s="34">
        <f>SUM(I28:I31)</f>
        <v>168480</v>
      </c>
      <c r="J32" s="19"/>
      <c r="K32" s="19"/>
      <c r="L32" s="19"/>
    </row>
    <row r="33" spans="1:12">
      <c r="A33" s="81" t="s">
        <v>535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75"/>
    </row>
    <row r="34" spans="1:12">
      <c r="A34" s="38" t="s">
        <v>536</v>
      </c>
      <c r="B34" s="38" t="s">
        <v>537</v>
      </c>
      <c r="C34" s="39">
        <v>25</v>
      </c>
      <c r="D34" s="40">
        <v>600</v>
      </c>
      <c r="E34" s="2">
        <f>C34*D34*12</f>
        <v>180000</v>
      </c>
      <c r="F34" s="2">
        <f>E34*Assumptions!B37</f>
        <v>45000</v>
      </c>
      <c r="G34" s="2">
        <f>E34*0.05</f>
        <v>9000</v>
      </c>
      <c r="H34" s="40">
        <v>0</v>
      </c>
      <c r="I34" s="2">
        <f>E34+F34+G34+H34</f>
        <v>234000</v>
      </c>
      <c r="J34" s="38" t="s">
        <v>510</v>
      </c>
      <c r="K34" s="38" t="s">
        <v>465</v>
      </c>
      <c r="L34" s="38"/>
    </row>
    <row r="35" spans="1:12">
      <c r="A35" s="38" t="s">
        <v>536</v>
      </c>
      <c r="B35" s="38" t="s">
        <v>538</v>
      </c>
      <c r="C35" s="39">
        <v>5</v>
      </c>
      <c r="D35" s="40">
        <v>1500</v>
      </c>
      <c r="E35" s="2">
        <f>C35*D35*12</f>
        <v>90000</v>
      </c>
      <c r="F35" s="2">
        <f>E35*Assumptions!B37</f>
        <v>22500</v>
      </c>
      <c r="G35" s="2">
        <f>E35*0.05</f>
        <v>4500</v>
      </c>
      <c r="H35" s="40">
        <v>0</v>
      </c>
      <c r="I35" s="2">
        <f>E35+F35+G35+H35</f>
        <v>117000</v>
      </c>
      <c r="J35" s="38" t="s">
        <v>510</v>
      </c>
      <c r="K35" s="38" t="s">
        <v>327</v>
      </c>
      <c r="L35" s="38"/>
    </row>
    <row r="36" spans="1:12">
      <c r="A36" s="38" t="s">
        <v>536</v>
      </c>
      <c r="B36" s="38" t="s">
        <v>539</v>
      </c>
      <c r="C36" s="39">
        <v>3</v>
      </c>
      <c r="D36" s="40">
        <v>1200</v>
      </c>
      <c r="E36" s="2">
        <f>C36*D36*12</f>
        <v>43200</v>
      </c>
      <c r="F36" s="2">
        <f>E36*Assumptions!B37</f>
        <v>10800</v>
      </c>
      <c r="G36" s="2">
        <f>E36*0.05</f>
        <v>2160</v>
      </c>
      <c r="H36" s="40">
        <v>0</v>
      </c>
      <c r="I36" s="2">
        <f>E36+F36+G36+H36</f>
        <v>56160</v>
      </c>
      <c r="J36" s="38" t="s">
        <v>510</v>
      </c>
      <c r="K36" s="38" t="s">
        <v>513</v>
      </c>
      <c r="L36" s="38"/>
    </row>
    <row r="37" spans="1:12">
      <c r="A37" s="38" t="s">
        <v>536</v>
      </c>
      <c r="B37" s="38" t="s">
        <v>540</v>
      </c>
      <c r="C37" s="39">
        <v>1</v>
      </c>
      <c r="D37" s="40">
        <v>1500</v>
      </c>
      <c r="E37" s="2">
        <f>C37*D37*12</f>
        <v>18000</v>
      </c>
      <c r="F37" s="2">
        <f>E37*Assumptions!B37</f>
        <v>4500</v>
      </c>
      <c r="G37" s="2">
        <f>E37*0.05</f>
        <v>900</v>
      </c>
      <c r="H37" s="40">
        <v>0</v>
      </c>
      <c r="I37" s="2">
        <f>E37+F37+G37+H37</f>
        <v>23400</v>
      </c>
      <c r="J37" s="38" t="s">
        <v>510</v>
      </c>
      <c r="K37" s="38" t="s">
        <v>513</v>
      </c>
      <c r="L37" s="38"/>
    </row>
    <row r="38" spans="1:12">
      <c r="A38" s="38" t="s">
        <v>536</v>
      </c>
      <c r="B38" s="38" t="s">
        <v>541</v>
      </c>
      <c r="C38" s="39">
        <v>3</v>
      </c>
      <c r="D38" s="40">
        <v>800</v>
      </c>
      <c r="E38" s="2">
        <f>C38*D38*12</f>
        <v>28800</v>
      </c>
      <c r="F38" s="2">
        <f>E38*Assumptions!B37</f>
        <v>7200</v>
      </c>
      <c r="G38" s="2">
        <f>E38*0.05</f>
        <v>1440</v>
      </c>
      <c r="H38" s="40">
        <v>0</v>
      </c>
      <c r="I38" s="2">
        <f>E38+F38+G38+H38</f>
        <v>37440</v>
      </c>
      <c r="J38" s="38" t="s">
        <v>510</v>
      </c>
      <c r="K38" s="38" t="s">
        <v>370</v>
      </c>
      <c r="L38" s="38"/>
    </row>
    <row r="39" spans="1:12">
      <c r="A39" s="38" t="s">
        <v>536</v>
      </c>
      <c r="B39" s="38" t="s">
        <v>542</v>
      </c>
      <c r="C39" s="39">
        <v>4</v>
      </c>
      <c r="D39" s="40">
        <v>500</v>
      </c>
      <c r="E39" s="2">
        <f>C39*D39*12</f>
        <v>24000</v>
      </c>
      <c r="F39" s="2">
        <f>E39*Assumptions!B37</f>
        <v>6000</v>
      </c>
      <c r="G39" s="2">
        <f>E39*0.05</f>
        <v>1200</v>
      </c>
      <c r="H39" s="40">
        <v>0</v>
      </c>
      <c r="I39" s="2">
        <f>E39+F39+G39+H39</f>
        <v>31200</v>
      </c>
      <c r="J39" s="38" t="s">
        <v>510</v>
      </c>
      <c r="K39" s="38" t="s">
        <v>321</v>
      </c>
      <c r="L39" s="38"/>
    </row>
    <row r="40" spans="1:12">
      <c r="A40" s="38" t="s">
        <v>536</v>
      </c>
      <c r="B40" s="38" t="s">
        <v>543</v>
      </c>
      <c r="C40" s="39">
        <v>2</v>
      </c>
      <c r="D40" s="40">
        <v>400</v>
      </c>
      <c r="E40" s="2">
        <f>C40*D40*12</f>
        <v>9600</v>
      </c>
      <c r="F40" s="2">
        <f>E40*Assumptions!B37</f>
        <v>2400</v>
      </c>
      <c r="G40" s="2">
        <f>E40*0.05</f>
        <v>480</v>
      </c>
      <c r="H40" s="40">
        <v>0</v>
      </c>
      <c r="I40" s="2">
        <f>E40+F40+G40+H40</f>
        <v>12480</v>
      </c>
      <c r="J40" s="38" t="s">
        <v>510</v>
      </c>
      <c r="K40" s="38" t="s">
        <v>370</v>
      </c>
      <c r="L40" s="38"/>
    </row>
    <row r="41" spans="1:12">
      <c r="A41" s="38" t="s">
        <v>536</v>
      </c>
      <c r="B41" s="38" t="s">
        <v>544</v>
      </c>
      <c r="C41" s="39">
        <v>1</v>
      </c>
      <c r="D41" s="40">
        <v>1500</v>
      </c>
      <c r="E41" s="2">
        <f>C41*D41*12</f>
        <v>18000</v>
      </c>
      <c r="F41" s="2">
        <f>E41*Assumptions!B37</f>
        <v>4500</v>
      </c>
      <c r="G41" s="2">
        <f>E41*0.05</f>
        <v>900</v>
      </c>
      <c r="H41" s="40">
        <v>0</v>
      </c>
      <c r="I41" s="2">
        <f>E41+F41+G41+H41</f>
        <v>23400</v>
      </c>
      <c r="J41" s="38" t="s">
        <v>510</v>
      </c>
      <c r="K41" s="38" t="s">
        <v>15</v>
      </c>
      <c r="L41" s="38"/>
    </row>
    <row r="42" spans="1:12">
      <c r="A42" s="17"/>
      <c r="B42" s="17" t="s">
        <v>506</v>
      </c>
      <c r="C42" s="41">
        <f>SUM(C34:C41)</f>
        <v>44</v>
      </c>
      <c r="D42" s="19"/>
      <c r="E42" s="19"/>
      <c r="F42" s="19"/>
      <c r="G42" s="19"/>
      <c r="H42" s="19"/>
      <c r="I42" s="34">
        <f>SUM(I34:I41)</f>
        <v>535080</v>
      </c>
      <c r="J42" s="19"/>
      <c r="K42" s="19"/>
      <c r="L42" s="19"/>
    </row>
    <row r="43" spans="1:12">
      <c r="A43" s="81" t="s">
        <v>545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75"/>
    </row>
    <row r="44" spans="1:12">
      <c r="A44" s="38" t="s">
        <v>546</v>
      </c>
      <c r="B44" s="38" t="s">
        <v>547</v>
      </c>
      <c r="C44" s="39">
        <v>50</v>
      </c>
      <c r="D44" s="40">
        <v>300</v>
      </c>
      <c r="E44" s="2">
        <f>C44*D44*12</f>
        <v>180000</v>
      </c>
      <c r="F44" s="40">
        <v>0</v>
      </c>
      <c r="G44" s="2">
        <f>E44*0.05</f>
        <v>9000</v>
      </c>
      <c r="H44" s="40">
        <v>0</v>
      </c>
      <c r="I44" s="2">
        <f>E44+F44+G44+H44</f>
        <v>189000</v>
      </c>
      <c r="J44" s="38" t="s">
        <v>510</v>
      </c>
      <c r="K44" s="38" t="s">
        <v>548</v>
      </c>
      <c r="L44" s="38"/>
    </row>
    <row r="45" spans="1:12">
      <c r="A45" s="17"/>
      <c r="B45" s="17" t="s">
        <v>506</v>
      </c>
      <c r="C45" s="41">
        <f>SUM(C44:C44)</f>
        <v>50</v>
      </c>
      <c r="D45" s="19"/>
      <c r="E45" s="19"/>
      <c r="F45" s="19"/>
      <c r="G45" s="19"/>
      <c r="H45" s="19"/>
      <c r="I45" s="34">
        <f>SUM(I44:I44)</f>
        <v>189000</v>
      </c>
      <c r="J45" s="19"/>
      <c r="K45" s="19"/>
      <c r="L45" s="19"/>
    </row>
    <row r="47" spans="1:12">
      <c r="A47" s="35"/>
      <c r="B47" s="35" t="s">
        <v>549</v>
      </c>
      <c r="C47" s="42">
        <f>C10+C18+C22+C26+C32+C42+C45</f>
        <v>116</v>
      </c>
      <c r="D47" s="36"/>
      <c r="E47" s="36"/>
      <c r="F47" s="36"/>
      <c r="G47" s="36"/>
      <c r="H47" s="36"/>
      <c r="I47" s="37">
        <f>I10+I18+I22+I26+I32+I42+I45</f>
        <v>2328360</v>
      </c>
      <c r="J47" s="36"/>
      <c r="K47" s="36"/>
      <c r="L47" s="36"/>
    </row>
    <row r="49" spans="1:1">
      <c r="A49" s="62" t="s">
        <v>550</v>
      </c>
    </row>
    <row r="50" spans="1:1">
      <c r="A50" s="62" t="s">
        <v>551</v>
      </c>
    </row>
  </sheetData>
  <mergeCells count="7">
    <mergeCell ref="A33:K33"/>
    <mergeCell ref="A43:K43"/>
    <mergeCell ref="A2:K2"/>
    <mergeCell ref="A11:K11"/>
    <mergeCell ref="A19:K19"/>
    <mergeCell ref="A23:K23"/>
    <mergeCell ref="A27:K27"/>
  </mergeCells>
  <hyperlinks>
    <hyperlink ref="L7" r:id="rId1" xr:uid="{037E2B71-E73F-43D7-8F05-7425B9E0DA77}"/>
    <hyperlink ref="L29" r:id="rId2" xr:uid="{9800BA5D-00A2-4418-AB5D-67FCF70B0D98}"/>
    <hyperlink ref="L28" r:id="rId3" xr:uid="{B2B9C213-7082-429A-BF3C-D766229BDFFA}"/>
    <hyperlink ref="L30" r:id="rId4" xr:uid="{1E7DD607-9106-4CE5-8FDE-136D8056E128}"/>
    <hyperlink ref="L31" r:id="rId5" xr:uid="{36E123EF-F596-42DC-931B-1935569DFF78}"/>
    <hyperlink ref="L8" r:id="rId6" xr:uid="{C7957586-5554-435C-A060-58886048E155}"/>
    <hyperlink ref="L6" r:id="rId7" xr:uid="{32E02B1A-87B2-46F9-8304-B0F005BC881A}"/>
    <hyperlink ref="L4" r:id="rId8" xr:uid="{6B36DF8D-E14D-4F01-8729-719BC26B445A}"/>
    <hyperlink ref="L3" r:id="rId9" xr:uid="{DFA8DFCF-7CDC-4958-BF08-7F03877FA36E}"/>
    <hyperlink ref="L5" r:id="rId10" xr:uid="{1233851F-00B2-445B-AD54-E217982346BC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53"/>
  <sheetViews>
    <sheetView zoomScaleNormal="100" workbookViewId="0">
      <selection activeCell="D28" sqref="D28"/>
    </sheetView>
  </sheetViews>
  <sheetFormatPr defaultColWidth="8.7109375" defaultRowHeight="15"/>
  <cols>
    <col min="1" max="1" width="12" customWidth="1"/>
    <col min="2" max="2" width="40" customWidth="1"/>
    <col min="3" max="3" width="48" customWidth="1"/>
    <col min="4" max="8" width="16" customWidth="1"/>
    <col min="9" max="9" width="42" customWidth="1"/>
  </cols>
  <sheetData>
    <row r="1" spans="1:9">
      <c r="A1" s="15" t="s">
        <v>306</v>
      </c>
      <c r="B1" s="15" t="s">
        <v>552</v>
      </c>
      <c r="C1" s="15" t="s">
        <v>553</v>
      </c>
      <c r="D1" s="15" t="s">
        <v>554</v>
      </c>
      <c r="E1" s="15" t="s">
        <v>555</v>
      </c>
      <c r="F1" s="15" t="s">
        <v>556</v>
      </c>
      <c r="G1" s="15" t="s">
        <v>557</v>
      </c>
      <c r="H1" s="15" t="s">
        <v>558</v>
      </c>
      <c r="I1" s="15" t="s">
        <v>72</v>
      </c>
    </row>
    <row r="2" spans="1:9">
      <c r="A2" s="81" t="s">
        <v>559</v>
      </c>
      <c r="B2" s="81"/>
      <c r="C2" s="81"/>
      <c r="D2" s="81"/>
      <c r="E2" s="81"/>
      <c r="F2" s="81"/>
      <c r="G2" s="81"/>
      <c r="H2" s="81"/>
      <c r="I2" s="81"/>
    </row>
    <row r="3" spans="1:9">
      <c r="A3" s="9" t="s">
        <v>560</v>
      </c>
      <c r="B3" s="9" t="s">
        <v>561</v>
      </c>
      <c r="C3" s="11" t="s">
        <v>562</v>
      </c>
      <c r="D3" s="43">
        <f>OPEX_HR!I47*0.55</f>
        <v>1280598</v>
      </c>
      <c r="E3" s="43">
        <f>OPEX_HR!I47*0.85</f>
        <v>1979106</v>
      </c>
      <c r="F3" s="43">
        <f>OPEX_HR!I47*1</f>
        <v>2328360</v>
      </c>
      <c r="G3" s="43">
        <f>OPEX_HR!I47*1</f>
        <v>2328360</v>
      </c>
      <c r="H3" s="43">
        <f>OPEX_HR!I47*1</f>
        <v>2328360</v>
      </c>
      <c r="I3" s="11"/>
    </row>
    <row r="4" spans="1:9">
      <c r="A4" s="17"/>
      <c r="B4" s="17" t="s">
        <v>563</v>
      </c>
      <c r="C4" s="19"/>
      <c r="D4" s="34">
        <f>D3</f>
        <v>1280598</v>
      </c>
      <c r="E4" s="34">
        <f>E3</f>
        <v>1979106</v>
      </c>
      <c r="F4" s="34">
        <f>F3</f>
        <v>2328360</v>
      </c>
      <c r="G4" s="34">
        <f>G3</f>
        <v>2328360</v>
      </c>
      <c r="H4" s="34">
        <f>H3</f>
        <v>2328360</v>
      </c>
      <c r="I4" s="19"/>
    </row>
    <row r="5" spans="1:9">
      <c r="A5" s="81" t="s">
        <v>564</v>
      </c>
      <c r="B5" s="81"/>
      <c r="C5" s="81"/>
      <c r="D5" s="81"/>
      <c r="E5" s="81"/>
      <c r="F5" s="81"/>
      <c r="G5" s="81"/>
      <c r="H5" s="81"/>
      <c r="I5" s="81"/>
    </row>
    <row r="6" spans="1:9">
      <c r="A6" s="1" t="s">
        <v>565</v>
      </c>
      <c r="B6" s="1" t="s">
        <v>566</v>
      </c>
      <c r="C6" s="1" t="s">
        <v>567</v>
      </c>
      <c r="D6" s="2">
        <f>Assumptions!B10*Assumptions!B30</f>
        <v>82125</v>
      </c>
      <c r="E6" s="2">
        <f>Assumptions!B10*Assumptions!B31</f>
        <v>432525</v>
      </c>
      <c r="F6" s="2">
        <f>Assumptions!B10*Assumptions!B32</f>
        <v>531075</v>
      </c>
      <c r="G6" s="2">
        <f>Assumptions!B10*Assumptions!B33</f>
        <v>547500</v>
      </c>
      <c r="H6" s="2">
        <f>Assumptions!B10*Assumptions!B34</f>
        <v>547500</v>
      </c>
      <c r="I6" s="1"/>
    </row>
    <row r="7" spans="1:9">
      <c r="A7" s="1" t="s">
        <v>565</v>
      </c>
      <c r="B7" s="1" t="s">
        <v>568</v>
      </c>
      <c r="C7" s="1" t="s">
        <v>569</v>
      </c>
      <c r="D7" s="2">
        <f>Assumptions!B20*Assumptions!B30</f>
        <v>21900</v>
      </c>
      <c r="E7" s="2">
        <f>Assumptions!B20*Assumptions!B31</f>
        <v>115340</v>
      </c>
      <c r="F7" s="2">
        <f>Assumptions!B20*Assumptions!B32</f>
        <v>141620</v>
      </c>
      <c r="G7" s="2">
        <f>Assumptions!B20*Assumptions!B33</f>
        <v>146000</v>
      </c>
      <c r="H7" s="2">
        <f>Assumptions!B20*Assumptions!B34</f>
        <v>146000</v>
      </c>
      <c r="I7" s="1"/>
    </row>
    <row r="8" spans="1:9">
      <c r="A8" s="1" t="s">
        <v>565</v>
      </c>
      <c r="B8" s="1" t="s">
        <v>570</v>
      </c>
      <c r="C8" s="1" t="s">
        <v>182</v>
      </c>
      <c r="D8" s="2">
        <v>24000</v>
      </c>
      <c r="E8" s="2">
        <v>36000</v>
      </c>
      <c r="F8" s="2">
        <v>48000</v>
      </c>
      <c r="G8" s="2">
        <v>48000</v>
      </c>
      <c r="H8" s="2">
        <v>48000</v>
      </c>
      <c r="I8" s="1"/>
    </row>
    <row r="9" spans="1:9">
      <c r="A9" s="1" t="s">
        <v>565</v>
      </c>
      <c r="B9" s="1" t="s">
        <v>571</v>
      </c>
      <c r="C9" s="1" t="s">
        <v>572</v>
      </c>
      <c r="D9" s="2">
        <v>44000</v>
      </c>
      <c r="E9" s="2">
        <v>77000</v>
      </c>
      <c r="F9" s="2">
        <v>109500</v>
      </c>
      <c r="G9" s="2">
        <v>109500</v>
      </c>
      <c r="H9" s="2">
        <v>109500</v>
      </c>
      <c r="I9" s="1"/>
    </row>
    <row r="10" spans="1:9">
      <c r="A10" s="1" t="s">
        <v>565</v>
      </c>
      <c r="B10" s="1" t="s">
        <v>573</v>
      </c>
      <c r="C10" s="1" t="s">
        <v>574</v>
      </c>
      <c r="D10" s="2">
        <v>18000</v>
      </c>
      <c r="E10" s="2">
        <v>27000</v>
      </c>
      <c r="F10" s="2">
        <v>36000</v>
      </c>
      <c r="G10" s="2">
        <v>36000</v>
      </c>
      <c r="H10" s="2">
        <v>36000</v>
      </c>
      <c r="I10" s="1"/>
    </row>
    <row r="11" spans="1:9">
      <c r="A11" s="17"/>
      <c r="B11" s="17" t="s">
        <v>575</v>
      </c>
      <c r="C11" s="19"/>
      <c r="D11" s="34">
        <f>SUM(D6:D10)</f>
        <v>190025</v>
      </c>
      <c r="E11" s="34">
        <f>SUM(E6:E10)</f>
        <v>687865</v>
      </c>
      <c r="F11" s="34">
        <f>SUM(F6:F10)</f>
        <v>866195</v>
      </c>
      <c r="G11" s="34">
        <f>SUM(G6:G10)</f>
        <v>887000</v>
      </c>
      <c r="H11" s="34">
        <f>SUM(H6:H10)</f>
        <v>887000</v>
      </c>
      <c r="I11" s="19"/>
    </row>
    <row r="12" spans="1:9">
      <c r="A12" s="81" t="s">
        <v>93</v>
      </c>
      <c r="B12" s="81"/>
      <c r="C12" s="81"/>
      <c r="D12" s="81"/>
      <c r="E12" s="81"/>
      <c r="F12" s="81"/>
      <c r="G12" s="81"/>
      <c r="H12" s="81"/>
      <c r="I12" s="81"/>
    </row>
    <row r="13" spans="1:9">
      <c r="A13" s="1" t="s">
        <v>576</v>
      </c>
      <c r="B13" s="1" t="s">
        <v>577</v>
      </c>
      <c r="C13" s="1" t="s">
        <v>578</v>
      </c>
      <c r="D13" s="2">
        <f>Assumptions!B16*Assumptions!B30</f>
        <v>47817</v>
      </c>
      <c r="E13" s="2">
        <f>Assumptions!B16*Assumptions!B31</f>
        <v>251836.2</v>
      </c>
      <c r="F13" s="2">
        <f>Assumptions!B16*Assumptions!B32</f>
        <v>309216.59999999998</v>
      </c>
      <c r="G13" s="2">
        <f>Assumptions!B16*Assumptions!B33</f>
        <v>318780</v>
      </c>
      <c r="H13" s="2">
        <f>Assumptions!B16*Assumptions!B34</f>
        <v>318780</v>
      </c>
      <c r="I13" s="1"/>
    </row>
    <row r="14" spans="1:9">
      <c r="A14" s="17"/>
      <c r="B14" s="17" t="s">
        <v>579</v>
      </c>
      <c r="C14" s="19"/>
      <c r="D14" s="34">
        <f>D13</f>
        <v>47817</v>
      </c>
      <c r="E14" s="34">
        <f>E13</f>
        <v>251836.2</v>
      </c>
      <c r="F14" s="34">
        <f>F13</f>
        <v>309216.59999999998</v>
      </c>
      <c r="G14" s="34">
        <f>G13</f>
        <v>318780</v>
      </c>
      <c r="H14" s="34">
        <f>H13</f>
        <v>318780</v>
      </c>
      <c r="I14" s="19"/>
    </row>
    <row r="15" spans="1:9">
      <c r="A15" s="81" t="s">
        <v>580</v>
      </c>
      <c r="B15" s="81"/>
      <c r="C15" s="81"/>
      <c r="D15" s="81"/>
      <c r="E15" s="81"/>
      <c r="F15" s="81"/>
      <c r="G15" s="81"/>
      <c r="H15" s="81"/>
      <c r="I15" s="81"/>
    </row>
    <row r="16" spans="1:9">
      <c r="A16" s="1" t="s">
        <v>581</v>
      </c>
      <c r="B16" s="1" t="s">
        <v>582</v>
      </c>
      <c r="C16" s="1"/>
      <c r="D16" s="2">
        <f>Assumptions!B27*Assumptions!B30</f>
        <v>2340</v>
      </c>
      <c r="E16" s="2">
        <f>Assumptions!B27*Assumptions!B31</f>
        <v>12324</v>
      </c>
      <c r="F16" s="2">
        <f>Assumptions!B27*Assumptions!B32</f>
        <v>15132</v>
      </c>
      <c r="G16" s="2">
        <f>Assumptions!B27*Assumptions!B33</f>
        <v>15600</v>
      </c>
      <c r="H16" s="2">
        <f>Assumptions!B27*Assumptions!B34</f>
        <v>15600</v>
      </c>
      <c r="I16" s="1"/>
    </row>
    <row r="17" spans="1:9">
      <c r="A17" s="1" t="s">
        <v>581</v>
      </c>
      <c r="B17" s="1" t="s">
        <v>583</v>
      </c>
      <c r="C17" s="1"/>
      <c r="D17" s="2">
        <f>Assumptions!B28*Assumptions!B30</f>
        <v>3159</v>
      </c>
      <c r="E17" s="2">
        <f>Assumptions!B28*Assumptions!B31</f>
        <v>16637.400000000001</v>
      </c>
      <c r="F17" s="2">
        <f>Assumptions!B28*Assumptions!B32</f>
        <v>20428.2</v>
      </c>
      <c r="G17" s="2">
        <f>Assumptions!B28*Assumptions!B33</f>
        <v>21060</v>
      </c>
      <c r="H17" s="2">
        <f>Assumptions!B28*Assumptions!B34</f>
        <v>21060</v>
      </c>
      <c r="I17" s="1"/>
    </row>
    <row r="18" spans="1:9">
      <c r="A18" s="1" t="s">
        <v>581</v>
      </c>
      <c r="B18" s="1" t="s">
        <v>584</v>
      </c>
      <c r="C18" s="1"/>
      <c r="D18" s="2">
        <v>27000</v>
      </c>
      <c r="E18" s="2">
        <v>33000</v>
      </c>
      <c r="F18" s="2">
        <v>36000</v>
      </c>
      <c r="G18" s="2">
        <v>36000</v>
      </c>
      <c r="H18" s="2">
        <v>36000</v>
      </c>
      <c r="I18" s="1"/>
    </row>
    <row r="19" spans="1:9">
      <c r="A19" s="1" t="s">
        <v>581</v>
      </c>
      <c r="B19" s="1" t="s">
        <v>585</v>
      </c>
      <c r="C19" s="1"/>
      <c r="D19" s="2">
        <v>13500</v>
      </c>
      <c r="E19" s="2">
        <v>16500</v>
      </c>
      <c r="F19" s="2">
        <v>18000</v>
      </c>
      <c r="G19" s="2">
        <v>18000</v>
      </c>
      <c r="H19" s="2">
        <v>18000</v>
      </c>
      <c r="I19" s="1"/>
    </row>
    <row r="20" spans="1:9">
      <c r="A20" s="1" t="s">
        <v>581</v>
      </c>
      <c r="B20" s="1" t="s">
        <v>586</v>
      </c>
      <c r="C20" s="1"/>
      <c r="D20" s="2">
        <v>14000</v>
      </c>
      <c r="E20" s="2">
        <v>14000</v>
      </c>
      <c r="F20" s="2">
        <v>14000</v>
      </c>
      <c r="G20" s="2">
        <v>14000</v>
      </c>
      <c r="H20" s="2">
        <v>14000</v>
      </c>
      <c r="I20" s="1"/>
    </row>
    <row r="21" spans="1:9">
      <c r="A21" s="1" t="s">
        <v>581</v>
      </c>
      <c r="B21" s="1" t="s">
        <v>587</v>
      </c>
      <c r="C21" s="1"/>
      <c r="D21" s="2">
        <v>30000</v>
      </c>
      <c r="E21" s="2">
        <v>45000</v>
      </c>
      <c r="F21" s="2">
        <v>60000</v>
      </c>
      <c r="G21" s="2">
        <v>60000</v>
      </c>
      <c r="H21" s="2">
        <v>60000</v>
      </c>
      <c r="I21" s="1"/>
    </row>
    <row r="22" spans="1:9">
      <c r="A22" s="1" t="s">
        <v>581</v>
      </c>
      <c r="B22" s="1" t="s">
        <v>588</v>
      </c>
      <c r="C22" s="1"/>
      <c r="D22" s="2">
        <v>4500</v>
      </c>
      <c r="E22" s="2">
        <v>5500</v>
      </c>
      <c r="F22" s="2">
        <v>6000</v>
      </c>
      <c r="G22" s="2">
        <v>6000</v>
      </c>
      <c r="H22" s="2">
        <v>6000</v>
      </c>
      <c r="I22" s="1"/>
    </row>
    <row r="23" spans="1:9">
      <c r="A23" s="1" t="s">
        <v>581</v>
      </c>
      <c r="B23" s="1" t="s">
        <v>589</v>
      </c>
      <c r="C23" s="1"/>
      <c r="D23" s="2">
        <v>5000</v>
      </c>
      <c r="E23" s="2">
        <v>5000</v>
      </c>
      <c r="F23" s="2">
        <v>5000</v>
      </c>
      <c r="G23" s="2">
        <v>5000</v>
      </c>
      <c r="H23" s="2">
        <v>5000</v>
      </c>
      <c r="I23" s="1"/>
    </row>
    <row r="24" spans="1:9">
      <c r="A24" s="17"/>
      <c r="B24" s="17" t="s">
        <v>590</v>
      </c>
      <c r="C24" s="19"/>
      <c r="D24" s="34">
        <f>SUM(D16:D23)</f>
        <v>99499</v>
      </c>
      <c r="E24" s="34">
        <f>SUM(E16:E23)</f>
        <v>147961.4</v>
      </c>
      <c r="F24" s="34">
        <f>SUM(F16:F23)</f>
        <v>174560.2</v>
      </c>
      <c r="G24" s="34">
        <f>SUM(G16:G23)</f>
        <v>175660</v>
      </c>
      <c r="H24" s="34">
        <f>SUM(H16:H23)</f>
        <v>175660</v>
      </c>
      <c r="I24" s="19"/>
    </row>
    <row r="25" spans="1:9">
      <c r="A25" s="81" t="s">
        <v>591</v>
      </c>
      <c r="B25" s="81"/>
      <c r="C25" s="81"/>
      <c r="D25" s="81"/>
      <c r="E25" s="81"/>
      <c r="F25" s="81"/>
      <c r="G25" s="81"/>
      <c r="H25" s="81"/>
      <c r="I25" s="81"/>
    </row>
    <row r="26" spans="1:9">
      <c r="A26" s="1" t="s">
        <v>592</v>
      </c>
      <c r="B26" s="1" t="s">
        <v>593</v>
      </c>
      <c r="C26" s="1"/>
      <c r="D26" s="2">
        <v>36000</v>
      </c>
      <c r="E26" s="2">
        <v>44000</v>
      </c>
      <c r="F26" s="2">
        <v>48000</v>
      </c>
      <c r="G26" s="2">
        <v>48000</v>
      </c>
      <c r="H26" s="2">
        <v>48000</v>
      </c>
      <c r="I26" s="1"/>
    </row>
    <row r="27" spans="1:9">
      <c r="A27" s="1" t="s">
        <v>592</v>
      </c>
      <c r="B27" s="1" t="s">
        <v>594</v>
      </c>
      <c r="C27" s="1"/>
      <c r="D27" s="2">
        <v>20000</v>
      </c>
      <c r="E27" s="2">
        <v>25000</v>
      </c>
      <c r="F27" s="2">
        <v>27000</v>
      </c>
      <c r="G27" s="2">
        <v>27000</v>
      </c>
      <c r="H27" s="2">
        <v>27000</v>
      </c>
      <c r="I27" s="1"/>
    </row>
    <row r="28" spans="1:9">
      <c r="A28" s="1" t="s">
        <v>592</v>
      </c>
      <c r="B28" s="1" t="s">
        <v>595</v>
      </c>
      <c r="C28" s="1"/>
      <c r="D28" s="2">
        <v>10000</v>
      </c>
      <c r="E28" s="2">
        <v>15000</v>
      </c>
      <c r="F28" s="2">
        <v>20000</v>
      </c>
      <c r="G28" s="2">
        <v>20000</v>
      </c>
      <c r="H28" s="2">
        <v>20000</v>
      </c>
      <c r="I28" s="1"/>
    </row>
    <row r="29" spans="1:9">
      <c r="A29" s="1" t="s">
        <v>592</v>
      </c>
      <c r="B29" s="1" t="s">
        <v>596</v>
      </c>
      <c r="C29" s="1"/>
      <c r="D29" s="2">
        <v>12000</v>
      </c>
      <c r="E29" s="2">
        <v>12000</v>
      </c>
      <c r="F29" s="2">
        <v>12000</v>
      </c>
      <c r="G29" s="2">
        <v>12000</v>
      </c>
      <c r="H29" s="2">
        <v>12000</v>
      </c>
      <c r="I29" s="1"/>
    </row>
    <row r="30" spans="1:9">
      <c r="A30" s="1" t="s">
        <v>592</v>
      </c>
      <c r="B30" s="1" t="s">
        <v>597</v>
      </c>
      <c r="C30" s="1"/>
      <c r="D30" s="2">
        <v>9000</v>
      </c>
      <c r="E30" s="2">
        <v>11000</v>
      </c>
      <c r="F30" s="2">
        <v>12000</v>
      </c>
      <c r="G30" s="2">
        <v>12000</v>
      </c>
      <c r="H30" s="2">
        <v>12000</v>
      </c>
      <c r="I30" s="1"/>
    </row>
    <row r="31" spans="1:9">
      <c r="A31" s="17"/>
      <c r="B31" s="17" t="s">
        <v>598</v>
      </c>
      <c r="C31" s="19"/>
      <c r="D31" s="34">
        <f>SUM(D26:D30)</f>
        <v>87000</v>
      </c>
      <c r="E31" s="34">
        <f>SUM(E26:E30)</f>
        <v>107000</v>
      </c>
      <c r="F31" s="34">
        <f>SUM(F26:F30)</f>
        <v>119000</v>
      </c>
      <c r="G31" s="34">
        <f>SUM(G26:G30)</f>
        <v>119000</v>
      </c>
      <c r="H31" s="34">
        <f>SUM(H26:H30)</f>
        <v>119000</v>
      </c>
      <c r="I31" s="19"/>
    </row>
    <row r="32" spans="1:9">
      <c r="A32" s="81" t="s">
        <v>599</v>
      </c>
      <c r="B32" s="81"/>
      <c r="C32" s="81"/>
      <c r="D32" s="81"/>
      <c r="E32" s="81"/>
      <c r="F32" s="81"/>
      <c r="G32" s="81"/>
      <c r="H32" s="81"/>
      <c r="I32" s="81"/>
    </row>
    <row r="33" spans="1:9">
      <c r="A33" s="1" t="s">
        <v>313</v>
      </c>
      <c r="B33" s="1" t="s">
        <v>600</v>
      </c>
      <c r="C33" s="1"/>
      <c r="D33" s="2">
        <v>6000</v>
      </c>
      <c r="E33" s="2">
        <v>6000</v>
      </c>
      <c r="F33" s="2">
        <v>6000</v>
      </c>
      <c r="G33" s="2">
        <v>6000</v>
      </c>
      <c r="H33" s="2">
        <v>6000</v>
      </c>
      <c r="I33" s="1"/>
    </row>
    <row r="34" spans="1:9">
      <c r="A34" s="1" t="s">
        <v>313</v>
      </c>
      <c r="B34" s="1" t="s">
        <v>601</v>
      </c>
      <c r="C34" s="1"/>
      <c r="D34" s="2">
        <v>6000</v>
      </c>
      <c r="E34" s="2">
        <v>6000</v>
      </c>
      <c r="F34" s="2">
        <v>6000</v>
      </c>
      <c r="G34" s="2">
        <v>6000</v>
      </c>
      <c r="H34" s="2">
        <v>6000</v>
      </c>
      <c r="I34" s="1"/>
    </row>
    <row r="35" spans="1:9">
      <c r="A35" s="17"/>
      <c r="B35" s="17" t="s">
        <v>602</v>
      </c>
      <c r="C35" s="19"/>
      <c r="D35" s="34">
        <f>SUM(D33:D34)</f>
        <v>12000</v>
      </c>
      <c r="E35" s="34">
        <f>SUM(E33:E34)</f>
        <v>12000</v>
      </c>
      <c r="F35" s="34">
        <f>SUM(F33:F34)</f>
        <v>12000</v>
      </c>
      <c r="G35" s="34">
        <f>SUM(G33:G34)</f>
        <v>12000</v>
      </c>
      <c r="H35" s="34">
        <f>SUM(H33:H34)</f>
        <v>12000</v>
      </c>
      <c r="I35" s="19"/>
    </row>
    <row r="36" spans="1:9">
      <c r="A36" s="81" t="s">
        <v>603</v>
      </c>
      <c r="B36" s="81"/>
      <c r="C36" s="81"/>
      <c r="D36" s="81"/>
      <c r="E36" s="81"/>
      <c r="F36" s="81"/>
      <c r="G36" s="81"/>
      <c r="H36" s="81"/>
      <c r="I36" s="81"/>
    </row>
    <row r="37" spans="1:9">
      <c r="A37" s="1" t="s">
        <v>521</v>
      </c>
      <c r="B37" s="1" t="s">
        <v>604</v>
      </c>
      <c r="C37" s="1"/>
      <c r="D37" s="2">
        <v>18000</v>
      </c>
      <c r="E37" s="2">
        <v>22000</v>
      </c>
      <c r="F37" s="2">
        <v>24000</v>
      </c>
      <c r="G37" s="2">
        <v>24000</v>
      </c>
      <c r="H37" s="2">
        <v>24000</v>
      </c>
      <c r="I37" s="1"/>
    </row>
    <row r="38" spans="1:9">
      <c r="A38" s="1" t="s">
        <v>521</v>
      </c>
      <c r="B38" s="1" t="s">
        <v>605</v>
      </c>
      <c r="C38" s="1"/>
      <c r="D38" s="2">
        <v>12000</v>
      </c>
      <c r="E38" s="2">
        <v>18000</v>
      </c>
      <c r="F38" s="2">
        <v>24000</v>
      </c>
      <c r="G38" s="2">
        <v>24000</v>
      </c>
      <c r="H38" s="2">
        <v>24000</v>
      </c>
      <c r="I38" s="1"/>
    </row>
    <row r="39" spans="1:9">
      <c r="A39" s="1" t="s">
        <v>521</v>
      </c>
      <c r="B39" s="1" t="s">
        <v>606</v>
      </c>
      <c r="C39" s="1"/>
      <c r="D39" s="2">
        <v>24000</v>
      </c>
      <c r="E39" s="2">
        <v>30000</v>
      </c>
      <c r="F39" s="2">
        <v>36000</v>
      </c>
      <c r="G39" s="2">
        <v>36000</v>
      </c>
      <c r="H39" s="2">
        <v>36000</v>
      </c>
      <c r="I39" s="1"/>
    </row>
    <row r="40" spans="1:9">
      <c r="A40" s="1" t="s">
        <v>521</v>
      </c>
      <c r="B40" s="1" t="s">
        <v>607</v>
      </c>
      <c r="C40" s="1"/>
      <c r="D40" s="2">
        <v>3000</v>
      </c>
      <c r="E40" s="2">
        <v>4500</v>
      </c>
      <c r="F40" s="2">
        <v>6000</v>
      </c>
      <c r="G40" s="2">
        <v>6000</v>
      </c>
      <c r="H40" s="2">
        <v>6000</v>
      </c>
      <c r="I40" s="1"/>
    </row>
    <row r="41" spans="1:9">
      <c r="A41" s="1" t="s">
        <v>521</v>
      </c>
      <c r="B41" s="1" t="s">
        <v>608</v>
      </c>
      <c r="C41" s="1"/>
      <c r="D41" s="2">
        <v>0</v>
      </c>
      <c r="E41" s="2">
        <v>40000</v>
      </c>
      <c r="F41" s="2">
        <v>80000</v>
      </c>
      <c r="G41" s="2">
        <v>100000</v>
      </c>
      <c r="H41" s="2">
        <v>120000</v>
      </c>
      <c r="I41" s="1"/>
    </row>
    <row r="42" spans="1:9">
      <c r="A42" s="17"/>
      <c r="B42" s="17" t="s">
        <v>609</v>
      </c>
      <c r="C42" s="19"/>
      <c r="D42" s="34">
        <f>SUM(D37:D41)</f>
        <v>57000</v>
      </c>
      <c r="E42" s="34">
        <f>SUM(E37:E41)</f>
        <v>114500</v>
      </c>
      <c r="F42" s="34">
        <f>SUM(F37:F41)</f>
        <v>170000</v>
      </c>
      <c r="G42" s="34">
        <f>SUM(G37:G41)</f>
        <v>190000</v>
      </c>
      <c r="H42" s="34">
        <f>SUM(H37:H41)</f>
        <v>210000</v>
      </c>
      <c r="I42" s="19"/>
    </row>
    <row r="43" spans="1:9">
      <c r="A43" s="81" t="s">
        <v>610</v>
      </c>
      <c r="B43" s="81"/>
      <c r="C43" s="81"/>
      <c r="D43" s="81"/>
      <c r="E43" s="81"/>
      <c r="F43" s="81"/>
      <c r="G43" s="81"/>
      <c r="H43" s="81"/>
      <c r="I43" s="81"/>
    </row>
    <row r="44" spans="1:9">
      <c r="A44" s="1" t="s">
        <v>611</v>
      </c>
      <c r="B44" s="1" t="s">
        <v>612</v>
      </c>
      <c r="C44" s="1"/>
      <c r="D44" s="2">
        <v>9600</v>
      </c>
      <c r="E44" s="2">
        <v>9600</v>
      </c>
      <c r="F44" s="2">
        <v>9600</v>
      </c>
      <c r="G44" s="2">
        <v>9600</v>
      </c>
      <c r="H44" s="2">
        <v>9600</v>
      </c>
      <c r="I44" s="1"/>
    </row>
    <row r="45" spans="1:9">
      <c r="A45" s="1" t="s">
        <v>611</v>
      </c>
      <c r="B45" s="1" t="s">
        <v>613</v>
      </c>
      <c r="C45" s="1"/>
      <c r="D45" s="2">
        <v>3600</v>
      </c>
      <c r="E45" s="2">
        <v>3600</v>
      </c>
      <c r="F45" s="2">
        <v>3600</v>
      </c>
      <c r="G45" s="2">
        <v>3600</v>
      </c>
      <c r="H45" s="2">
        <v>3600</v>
      </c>
      <c r="I45" s="1"/>
    </row>
    <row r="46" spans="1:9">
      <c r="A46" s="1" t="s">
        <v>611</v>
      </c>
      <c r="B46" s="1" t="s">
        <v>614</v>
      </c>
      <c r="C46" s="1"/>
      <c r="D46" s="2">
        <v>6000</v>
      </c>
      <c r="E46" s="2">
        <v>6000</v>
      </c>
      <c r="F46" s="2">
        <v>6000</v>
      </c>
      <c r="G46" s="2">
        <v>6000</v>
      </c>
      <c r="H46" s="2">
        <v>6000</v>
      </c>
      <c r="I46" s="1"/>
    </row>
    <row r="47" spans="1:9">
      <c r="A47" s="1" t="s">
        <v>611</v>
      </c>
      <c r="B47" s="1" t="s">
        <v>615</v>
      </c>
      <c r="C47" s="1"/>
      <c r="D47" s="2">
        <v>18000</v>
      </c>
      <c r="E47" s="2">
        <v>18000</v>
      </c>
      <c r="F47" s="2">
        <v>18000</v>
      </c>
      <c r="G47" s="2">
        <v>18000</v>
      </c>
      <c r="H47" s="2">
        <v>18000</v>
      </c>
      <c r="I47" s="1"/>
    </row>
    <row r="48" spans="1:9">
      <c r="A48" s="1" t="s">
        <v>611</v>
      </c>
      <c r="B48" s="1" t="s">
        <v>616</v>
      </c>
      <c r="C48" s="1"/>
      <c r="D48" s="2">
        <v>12000</v>
      </c>
      <c r="E48" s="2">
        <v>12000</v>
      </c>
      <c r="F48" s="2">
        <v>12000</v>
      </c>
      <c r="G48" s="2">
        <v>12000</v>
      </c>
      <c r="H48" s="2">
        <v>12000</v>
      </c>
      <c r="I48" s="1"/>
    </row>
    <row r="49" spans="1:9">
      <c r="A49" s="1" t="s">
        <v>611</v>
      </c>
      <c r="B49" s="1" t="s">
        <v>617</v>
      </c>
      <c r="C49" s="1"/>
      <c r="D49" s="2">
        <v>9000</v>
      </c>
      <c r="E49" s="2">
        <v>10500</v>
      </c>
      <c r="F49" s="2">
        <v>12000</v>
      </c>
      <c r="G49" s="2">
        <v>12000</v>
      </c>
      <c r="H49" s="2">
        <v>12000</v>
      </c>
      <c r="I49" s="1"/>
    </row>
    <row r="50" spans="1:9">
      <c r="A50" s="1" t="s">
        <v>611</v>
      </c>
      <c r="B50" s="1" t="s">
        <v>618</v>
      </c>
      <c r="C50" s="1"/>
      <c r="D50" s="2">
        <v>5000</v>
      </c>
      <c r="E50" s="2">
        <v>5500</v>
      </c>
      <c r="F50" s="2">
        <v>6000</v>
      </c>
      <c r="G50" s="2">
        <v>6000</v>
      </c>
      <c r="H50" s="2">
        <v>6000</v>
      </c>
      <c r="I50" s="1"/>
    </row>
    <row r="51" spans="1:9">
      <c r="A51" s="17"/>
      <c r="B51" s="17" t="s">
        <v>619</v>
      </c>
      <c r="C51" s="19"/>
      <c r="D51" s="34">
        <f>SUM(D44:D50)</f>
        <v>63200</v>
      </c>
      <c r="E51" s="34">
        <f>SUM(E44:E50)</f>
        <v>65200</v>
      </c>
      <c r="F51" s="34">
        <f>SUM(F44:F50)</f>
        <v>67200</v>
      </c>
      <c r="G51" s="34">
        <f>SUM(G44:G50)</f>
        <v>67200</v>
      </c>
      <c r="H51" s="34">
        <f>SUM(H44:H50)</f>
        <v>67200</v>
      </c>
      <c r="I51" s="19"/>
    </row>
    <row r="53" spans="1:9">
      <c r="A53" s="35"/>
      <c r="B53" s="35" t="s">
        <v>620</v>
      </c>
      <c r="C53" s="36"/>
      <c r="D53" s="37">
        <f>D4+D11+D14+D24+D31+D35+D42+D51</f>
        <v>1837139</v>
      </c>
      <c r="E53" s="37">
        <f>E4+E11+E14+E24+E31+E35+E42+E51</f>
        <v>3365468.6</v>
      </c>
      <c r="F53" s="37">
        <f>F4+F11+F14+F24+F31+F35+F42+F51</f>
        <v>4046531.8000000003</v>
      </c>
      <c r="G53" s="37">
        <f>G4+G11+G14+G24+G31+G35+G42+G51</f>
        <v>4098000</v>
      </c>
      <c r="H53" s="37">
        <f>H4+H11+H14+H24+H31+H35+H42+H51</f>
        <v>4118000</v>
      </c>
      <c r="I53" s="36"/>
    </row>
  </sheetData>
  <mergeCells count="8">
    <mergeCell ref="A32:I32"/>
    <mergeCell ref="A36:I36"/>
    <mergeCell ref="A43:I43"/>
    <mergeCell ref="A2:I2"/>
    <mergeCell ref="A5:I5"/>
    <mergeCell ref="A12:I12"/>
    <mergeCell ref="A15:I15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600"/>
  </sheetPr>
  <dimension ref="A1:J56"/>
  <sheetViews>
    <sheetView zoomScaleNormal="100" workbookViewId="0">
      <selection activeCell="J23" sqref="J23"/>
    </sheetView>
  </sheetViews>
  <sheetFormatPr defaultColWidth="8.7109375" defaultRowHeight="15"/>
  <cols>
    <col min="1" max="1" width="11.85546875" customWidth="1"/>
    <col min="2" max="2" width="38" customWidth="1"/>
    <col min="3" max="3" width="20" customWidth="1"/>
    <col min="4" max="4" width="12" customWidth="1"/>
    <col min="5" max="5" width="14" customWidth="1"/>
    <col min="6" max="7" width="16" customWidth="1"/>
    <col min="8" max="8" width="10" customWidth="1"/>
    <col min="9" max="9" width="16" customWidth="1"/>
    <col min="10" max="10" width="42" customWidth="1"/>
  </cols>
  <sheetData>
    <row r="1" spans="1:10">
      <c r="A1" s="15" t="s">
        <v>306</v>
      </c>
      <c r="B1" s="15" t="s">
        <v>307</v>
      </c>
      <c r="C1" s="15" t="s">
        <v>308</v>
      </c>
      <c r="D1" s="15" t="s">
        <v>621</v>
      </c>
      <c r="E1" s="15" t="s">
        <v>622</v>
      </c>
      <c r="F1" s="15" t="s">
        <v>623</v>
      </c>
      <c r="G1" s="15" t="s">
        <v>624</v>
      </c>
      <c r="H1" s="15" t="s">
        <v>101</v>
      </c>
      <c r="I1" s="15" t="s">
        <v>625</v>
      </c>
      <c r="J1" s="15" t="s">
        <v>72</v>
      </c>
    </row>
    <row r="2" spans="1:10">
      <c r="A2" s="81" t="s">
        <v>626</v>
      </c>
      <c r="B2" s="81"/>
      <c r="C2" s="81"/>
      <c r="D2" s="81"/>
      <c r="E2" s="81"/>
      <c r="F2" s="81"/>
      <c r="G2" s="81"/>
      <c r="H2" s="81"/>
      <c r="I2" s="81"/>
      <c r="J2" s="81"/>
    </row>
    <row r="3" spans="1:10">
      <c r="A3" s="1" t="s">
        <v>627</v>
      </c>
      <c r="B3" s="1" t="s">
        <v>628</v>
      </c>
      <c r="C3" s="1" t="s">
        <v>629</v>
      </c>
      <c r="D3" s="1">
        <v>5</v>
      </c>
      <c r="E3" s="32">
        <f>1*5*17</f>
        <v>85</v>
      </c>
      <c r="F3" s="32">
        <f>E3*30</f>
        <v>2550</v>
      </c>
      <c r="G3" s="32">
        <f>F3*12</f>
        <v>30600</v>
      </c>
      <c r="H3" s="1"/>
      <c r="I3" s="1"/>
      <c r="J3" s="1" t="s">
        <v>630</v>
      </c>
    </row>
    <row r="4" spans="1:10">
      <c r="A4" s="1" t="s">
        <v>627</v>
      </c>
      <c r="B4" s="1" t="s">
        <v>631</v>
      </c>
      <c r="C4" s="1" t="s">
        <v>632</v>
      </c>
      <c r="D4" s="1">
        <v>22</v>
      </c>
      <c r="E4" s="32">
        <f>3*22*17</f>
        <v>1122</v>
      </c>
      <c r="F4" s="32">
        <f>E4*30</f>
        <v>33660</v>
      </c>
      <c r="G4" s="32">
        <f>F4*12</f>
        <v>403920</v>
      </c>
      <c r="H4" s="1"/>
      <c r="I4" s="1"/>
      <c r="J4" s="1"/>
    </row>
    <row r="5" spans="1:10">
      <c r="A5" s="1" t="s">
        <v>627</v>
      </c>
      <c r="B5" s="1" t="s">
        <v>633</v>
      </c>
      <c r="C5" s="1" t="s">
        <v>634</v>
      </c>
      <c r="D5" s="1">
        <v>30</v>
      </c>
      <c r="E5" s="32">
        <f>4*30*17</f>
        <v>2040</v>
      </c>
      <c r="F5" s="32">
        <f>E5*30</f>
        <v>61200</v>
      </c>
      <c r="G5" s="32">
        <f>F5*12</f>
        <v>734400</v>
      </c>
      <c r="H5" s="1"/>
      <c r="I5" s="1"/>
      <c r="J5" s="1"/>
    </row>
    <row r="6" spans="1:10">
      <c r="A6" s="1" t="s">
        <v>627</v>
      </c>
      <c r="B6" s="1" t="s">
        <v>635</v>
      </c>
      <c r="C6" s="1" t="s">
        <v>636</v>
      </c>
      <c r="D6" s="1">
        <v>15</v>
      </c>
      <c r="E6" s="32">
        <f>5*15*17</f>
        <v>1275</v>
      </c>
      <c r="F6" s="32">
        <f>E6*30</f>
        <v>38250</v>
      </c>
      <c r="G6" s="32">
        <f>F6*12</f>
        <v>459000</v>
      </c>
      <c r="H6" s="1"/>
      <c r="I6" s="1"/>
      <c r="J6" s="1"/>
    </row>
    <row r="7" spans="1:10">
      <c r="A7" s="1" t="s">
        <v>627</v>
      </c>
      <c r="B7" s="1" t="s">
        <v>637</v>
      </c>
      <c r="C7" s="1" t="s">
        <v>638</v>
      </c>
      <c r="D7" s="1">
        <v>55</v>
      </c>
      <c r="E7" s="32">
        <f>5*55*17</f>
        <v>4675</v>
      </c>
      <c r="F7" s="32">
        <f>E7*30</f>
        <v>140250</v>
      </c>
      <c r="G7" s="32">
        <f>F7*12</f>
        <v>1683000</v>
      </c>
      <c r="H7" s="1"/>
      <c r="I7" s="1"/>
      <c r="J7" s="1" t="s">
        <v>639</v>
      </c>
    </row>
    <row r="8" spans="1:10">
      <c r="A8" s="1" t="s">
        <v>627</v>
      </c>
      <c r="B8" s="1" t="s">
        <v>640</v>
      </c>
      <c r="C8" s="1" t="s">
        <v>641</v>
      </c>
      <c r="D8" s="1">
        <v>7</v>
      </c>
      <c r="E8" s="32">
        <f>5*7*17</f>
        <v>595</v>
      </c>
      <c r="F8" s="32">
        <f>E8*30</f>
        <v>17850</v>
      </c>
      <c r="G8" s="32">
        <f>F8*12</f>
        <v>214200</v>
      </c>
      <c r="H8" s="1"/>
      <c r="I8" s="1"/>
      <c r="J8" s="1"/>
    </row>
    <row r="9" spans="1:10">
      <c r="A9" s="1" t="s">
        <v>627</v>
      </c>
      <c r="B9" s="1" t="s">
        <v>642</v>
      </c>
      <c r="C9" s="1" t="s">
        <v>643</v>
      </c>
      <c r="D9" s="1">
        <v>3</v>
      </c>
      <c r="E9" s="32">
        <f>1*3*17</f>
        <v>51</v>
      </c>
      <c r="F9" s="32">
        <f>E9*30</f>
        <v>1530</v>
      </c>
      <c r="G9" s="32">
        <f>F9*12</f>
        <v>18360</v>
      </c>
      <c r="H9" s="1"/>
      <c r="I9" s="1"/>
      <c r="J9" s="1"/>
    </row>
    <row r="10" spans="1:10">
      <c r="A10" s="1" t="s">
        <v>644</v>
      </c>
      <c r="B10" s="1" t="s">
        <v>645</v>
      </c>
      <c r="C10" s="1" t="s">
        <v>646</v>
      </c>
      <c r="D10" s="1">
        <v>22</v>
      </c>
      <c r="E10" s="32">
        <f>1*22*17</f>
        <v>374</v>
      </c>
      <c r="F10" s="32">
        <f>E10*30</f>
        <v>11220</v>
      </c>
      <c r="G10" s="32">
        <f>F10*12</f>
        <v>134640</v>
      </c>
      <c r="H10" s="1"/>
      <c r="I10" s="1"/>
      <c r="J10" s="1"/>
    </row>
    <row r="11" spans="1:10">
      <c r="A11" s="1" t="s">
        <v>644</v>
      </c>
      <c r="B11" s="1" t="s">
        <v>647</v>
      </c>
      <c r="C11" s="1" t="s">
        <v>648</v>
      </c>
      <c r="D11" s="1">
        <v>18</v>
      </c>
      <c r="E11" s="32">
        <f>1*18*17</f>
        <v>306</v>
      </c>
      <c r="F11" s="32">
        <f>E11*30</f>
        <v>9180</v>
      </c>
      <c r="G11" s="32">
        <f>F11*12</f>
        <v>110160</v>
      </c>
      <c r="H11" s="1"/>
      <c r="I11" s="1"/>
      <c r="J11" s="1"/>
    </row>
    <row r="12" spans="1:10">
      <c r="A12" s="1" t="s">
        <v>644</v>
      </c>
      <c r="B12" s="1" t="s">
        <v>649</v>
      </c>
      <c r="C12" s="1" t="s">
        <v>650</v>
      </c>
      <c r="D12" s="1">
        <v>15</v>
      </c>
      <c r="E12" s="32">
        <f>2*15*17</f>
        <v>510</v>
      </c>
      <c r="F12" s="32">
        <f>E12*30</f>
        <v>15300</v>
      </c>
      <c r="G12" s="32">
        <f>F12*12</f>
        <v>183600</v>
      </c>
      <c r="H12" s="1"/>
      <c r="I12" s="1"/>
      <c r="J12" s="1" t="s">
        <v>651</v>
      </c>
    </row>
    <row r="13" spans="1:10">
      <c r="A13" s="1" t="s">
        <v>644</v>
      </c>
      <c r="B13" s="1" t="s">
        <v>652</v>
      </c>
      <c r="C13" s="1" t="s">
        <v>629</v>
      </c>
      <c r="D13" s="1">
        <v>5</v>
      </c>
      <c r="E13" s="32">
        <f>1*5*17</f>
        <v>85</v>
      </c>
      <c r="F13" s="32">
        <f>E13*30</f>
        <v>2550</v>
      </c>
      <c r="G13" s="32">
        <f>F13*12</f>
        <v>30600</v>
      </c>
      <c r="H13" s="1"/>
      <c r="I13" s="1"/>
      <c r="J13" s="1"/>
    </row>
    <row r="14" spans="1:10">
      <c r="A14" s="1" t="s">
        <v>644</v>
      </c>
      <c r="B14" s="1" t="s">
        <v>653</v>
      </c>
      <c r="C14" s="1" t="s">
        <v>654</v>
      </c>
      <c r="D14" s="1">
        <v>22</v>
      </c>
      <c r="E14" s="32">
        <f>2*22*17</f>
        <v>748</v>
      </c>
      <c r="F14" s="32">
        <f>E14*30</f>
        <v>22440</v>
      </c>
      <c r="G14" s="32">
        <f>F14*12</f>
        <v>269280</v>
      </c>
      <c r="H14" s="1"/>
      <c r="I14" s="1"/>
      <c r="J14" s="1"/>
    </row>
    <row r="15" spans="1:10">
      <c r="A15" s="1" t="s">
        <v>655</v>
      </c>
      <c r="B15" s="1" t="s">
        <v>656</v>
      </c>
      <c r="C15" s="1" t="s">
        <v>657</v>
      </c>
      <c r="D15" s="1">
        <v>30</v>
      </c>
      <c r="E15" s="32">
        <f>1*30*17</f>
        <v>510</v>
      </c>
      <c r="F15" s="32">
        <f>E15*30</f>
        <v>15300</v>
      </c>
      <c r="G15" s="32">
        <f>F15*12</f>
        <v>183600</v>
      </c>
      <c r="H15" s="1"/>
      <c r="I15" s="1"/>
      <c r="J15" s="1"/>
    </row>
    <row r="16" spans="1:10">
      <c r="A16" s="1" t="s">
        <v>655</v>
      </c>
      <c r="B16" s="1" t="s">
        <v>658</v>
      </c>
      <c r="C16" s="1" t="s">
        <v>646</v>
      </c>
      <c r="D16" s="1">
        <v>22</v>
      </c>
      <c r="E16" s="32">
        <f>1*22*17</f>
        <v>374</v>
      </c>
      <c r="F16" s="32">
        <f>E16*30</f>
        <v>11220</v>
      </c>
      <c r="G16" s="32">
        <f>F16*12</f>
        <v>134640</v>
      </c>
      <c r="H16" s="1"/>
      <c r="I16" s="1"/>
      <c r="J16" s="1"/>
    </row>
    <row r="17" spans="1:10">
      <c r="A17" s="1" t="s">
        <v>655</v>
      </c>
      <c r="B17" s="1" t="s">
        <v>659</v>
      </c>
      <c r="C17" s="1" t="s">
        <v>660</v>
      </c>
      <c r="D17" s="1">
        <v>37</v>
      </c>
      <c r="E17" s="32">
        <f>3*37*17</f>
        <v>1887</v>
      </c>
      <c r="F17" s="32">
        <f>E17*30</f>
        <v>56610</v>
      </c>
      <c r="G17" s="32">
        <f>F17*12</f>
        <v>679320</v>
      </c>
      <c r="H17" s="1"/>
      <c r="I17" s="1"/>
      <c r="J17" s="1"/>
    </row>
    <row r="18" spans="1:10">
      <c r="A18" s="1" t="s">
        <v>281</v>
      </c>
      <c r="B18" s="1" t="s">
        <v>661</v>
      </c>
      <c r="C18" s="1" t="s">
        <v>662</v>
      </c>
      <c r="D18" s="1">
        <v>15</v>
      </c>
      <c r="E18" s="32">
        <f>1*15*8</f>
        <v>120</v>
      </c>
      <c r="F18" s="32">
        <f>E18*30</f>
        <v>3600</v>
      </c>
      <c r="G18" s="32">
        <f>F18*12</f>
        <v>43200</v>
      </c>
      <c r="H18" s="1"/>
      <c r="I18" s="1"/>
      <c r="J18" s="1" t="s">
        <v>663</v>
      </c>
    </row>
    <row r="19" spans="1:10">
      <c r="A19" s="1" t="s">
        <v>281</v>
      </c>
      <c r="B19" s="1" t="s">
        <v>664</v>
      </c>
      <c r="C19" s="1" t="s">
        <v>665</v>
      </c>
      <c r="D19" s="1">
        <v>7</v>
      </c>
      <c r="E19" s="32">
        <f>1*7*17</f>
        <v>119</v>
      </c>
      <c r="F19" s="32">
        <f>E19*30</f>
        <v>3570</v>
      </c>
      <c r="G19" s="32">
        <f>F19*12</f>
        <v>42840</v>
      </c>
      <c r="H19" s="1"/>
      <c r="I19" s="1"/>
      <c r="J19" s="1"/>
    </row>
    <row r="20" spans="1:10">
      <c r="A20" s="1" t="s">
        <v>281</v>
      </c>
      <c r="B20" s="1" t="s">
        <v>666</v>
      </c>
      <c r="C20" s="1" t="s">
        <v>657</v>
      </c>
      <c r="D20" s="1">
        <v>30</v>
      </c>
      <c r="E20" s="32">
        <f>1*30*24</f>
        <v>720</v>
      </c>
      <c r="F20" s="32">
        <f>E20*30</f>
        <v>21600</v>
      </c>
      <c r="G20" s="32">
        <f>F20*12</f>
        <v>259200</v>
      </c>
      <c r="H20" s="1"/>
      <c r="I20" s="1"/>
      <c r="J20" s="1" t="s">
        <v>667</v>
      </c>
    </row>
    <row r="21" spans="1:10">
      <c r="A21" s="1" t="s">
        <v>281</v>
      </c>
      <c r="B21" s="1" t="s">
        <v>668</v>
      </c>
      <c r="C21" s="1" t="s">
        <v>669</v>
      </c>
      <c r="D21" s="1">
        <v>0.75</v>
      </c>
      <c r="E21" s="32">
        <f>25*0.75*17</f>
        <v>318.75</v>
      </c>
      <c r="F21" s="32">
        <f>E21*30</f>
        <v>9562.5</v>
      </c>
      <c r="G21" s="32">
        <f>F21*12</f>
        <v>114750</v>
      </c>
      <c r="H21" s="1"/>
      <c r="I21" s="1"/>
      <c r="J21" s="1" t="s">
        <v>670</v>
      </c>
    </row>
    <row r="22" spans="1:10">
      <c r="A22" s="17"/>
      <c r="B22" s="17" t="s">
        <v>671</v>
      </c>
      <c r="C22" s="19"/>
      <c r="D22" s="19"/>
      <c r="E22" s="41">
        <f>SUM(E3:E21)</f>
        <v>15914.75</v>
      </c>
      <c r="F22" s="41">
        <f>SUM(F3:F21)</f>
        <v>477442.5</v>
      </c>
      <c r="G22" s="41">
        <f>SUM(G3:G21)</f>
        <v>5729310</v>
      </c>
      <c r="H22" s="19"/>
      <c r="I22" s="19"/>
      <c r="J22" s="19"/>
    </row>
    <row r="23" spans="1:10">
      <c r="A23" s="44"/>
      <c r="B23" s="44" t="s">
        <v>672</v>
      </c>
      <c r="C23" s="45"/>
      <c r="D23" s="45"/>
      <c r="E23" s="45"/>
      <c r="F23" s="45"/>
      <c r="G23" s="45"/>
      <c r="H23" s="46">
        <f>Assumptions!B14*Assumptions!B13+(1-Assumptions!B13)*Assumptions!B15</f>
        <v>0.23100000000000001</v>
      </c>
      <c r="I23" s="45"/>
      <c r="J23" s="45" t="s">
        <v>673</v>
      </c>
    </row>
    <row r="24" spans="1:10">
      <c r="A24" s="35"/>
      <c r="B24" s="35" t="s">
        <v>674</v>
      </c>
      <c r="C24" s="36"/>
      <c r="D24" s="36"/>
      <c r="E24" s="36"/>
      <c r="F24" s="36"/>
      <c r="G24" s="36"/>
      <c r="H24" s="36"/>
      <c r="I24" s="37">
        <f>G22*H23</f>
        <v>1323470.6100000001</v>
      </c>
      <c r="J24" s="36"/>
    </row>
    <row r="25" spans="1:10">
      <c r="A25" s="76"/>
      <c r="B25" s="76" t="s">
        <v>675</v>
      </c>
      <c r="C25" s="63"/>
      <c r="D25" s="63"/>
      <c r="E25" s="63"/>
      <c r="F25" s="63"/>
      <c r="G25" s="63"/>
      <c r="H25" s="63"/>
      <c r="I25" s="64">
        <f>Assumptions!B16</f>
        <v>318780</v>
      </c>
      <c r="J25" s="63" t="s">
        <v>676</v>
      </c>
    </row>
    <row r="27" spans="1:10">
      <c r="A27" s="81" t="s">
        <v>677</v>
      </c>
      <c r="B27" s="81"/>
      <c r="C27" s="81"/>
      <c r="D27" s="81"/>
      <c r="E27" s="81"/>
      <c r="F27" s="81"/>
      <c r="G27" s="81"/>
      <c r="H27" s="81"/>
      <c r="I27" s="81"/>
      <c r="J27" s="81"/>
    </row>
    <row r="28" spans="1:10">
      <c r="A28" s="9"/>
      <c r="B28" s="9" t="s">
        <v>678</v>
      </c>
      <c r="C28" s="11"/>
      <c r="D28" s="11"/>
      <c r="E28" s="11"/>
      <c r="F28" s="11"/>
      <c r="G28" s="11"/>
      <c r="H28" s="11"/>
      <c r="I28" s="43">
        <f>Assumptions!B20</f>
        <v>146000</v>
      </c>
      <c r="J28" s="11"/>
    </row>
    <row r="29" spans="1:10">
      <c r="A29" s="1" t="s">
        <v>627</v>
      </c>
      <c r="B29" s="1" t="s">
        <v>679</v>
      </c>
      <c r="C29" s="1" t="s">
        <v>680</v>
      </c>
      <c r="D29" s="1" t="s">
        <v>681</v>
      </c>
      <c r="E29" s="32">
        <v>50</v>
      </c>
      <c r="F29" s="32">
        <f>E29*30</f>
        <v>1500</v>
      </c>
      <c r="G29" s="32">
        <f>F29*12</f>
        <v>18000</v>
      </c>
      <c r="H29" s="1"/>
      <c r="I29" s="1"/>
      <c r="J29" s="1"/>
    </row>
    <row r="30" spans="1:10">
      <c r="A30" s="1" t="s">
        <v>627</v>
      </c>
      <c r="B30" s="1" t="s">
        <v>682</v>
      </c>
      <c r="C30" s="1" t="s">
        <v>683</v>
      </c>
      <c r="D30" s="1" t="s">
        <v>684</v>
      </c>
      <c r="E30" s="32">
        <v>30</v>
      </c>
      <c r="F30" s="32">
        <f>E30*30</f>
        <v>900</v>
      </c>
      <c r="G30" s="32">
        <f>F30*12</f>
        <v>10800</v>
      </c>
      <c r="H30" s="1"/>
      <c r="I30" s="1"/>
      <c r="J30" s="1"/>
    </row>
    <row r="31" spans="1:10">
      <c r="A31" s="1" t="s">
        <v>655</v>
      </c>
      <c r="B31" s="1" t="s">
        <v>685</v>
      </c>
      <c r="C31" s="1"/>
      <c r="D31" s="1" t="s">
        <v>686</v>
      </c>
      <c r="E31" s="32">
        <v>10</v>
      </c>
      <c r="F31" s="32">
        <f>E31*30</f>
        <v>300</v>
      </c>
      <c r="G31" s="32">
        <f>F31*12</f>
        <v>3600</v>
      </c>
      <c r="H31" s="1"/>
      <c r="I31" s="1"/>
      <c r="J31" s="1"/>
    </row>
    <row r="32" spans="1:10">
      <c r="A32" s="1" t="s">
        <v>281</v>
      </c>
      <c r="B32" s="1" t="s">
        <v>687</v>
      </c>
      <c r="C32" s="1" t="s">
        <v>688</v>
      </c>
      <c r="D32" s="1" t="s">
        <v>689</v>
      </c>
      <c r="E32" s="32">
        <v>20</v>
      </c>
      <c r="F32" s="32">
        <f>E32*30</f>
        <v>600</v>
      </c>
      <c r="G32" s="32">
        <f>F32*12</f>
        <v>7200</v>
      </c>
      <c r="H32" s="1"/>
      <c r="I32" s="1"/>
      <c r="J32" s="1"/>
    </row>
    <row r="33" spans="1:10">
      <c r="A33" s="1" t="s">
        <v>281</v>
      </c>
      <c r="B33" s="1" t="s">
        <v>690</v>
      </c>
      <c r="C33" s="1"/>
      <c r="D33" s="1" t="s">
        <v>686</v>
      </c>
      <c r="E33" s="32">
        <v>10</v>
      </c>
      <c r="F33" s="32">
        <f>E33*30</f>
        <v>300</v>
      </c>
      <c r="G33" s="32">
        <f>F33*12</f>
        <v>3600</v>
      </c>
      <c r="H33" s="1"/>
      <c r="I33" s="1"/>
      <c r="J33" s="1"/>
    </row>
    <row r="34" spans="1:10">
      <c r="A34" s="1" t="s">
        <v>281</v>
      </c>
      <c r="B34" s="1" t="s">
        <v>691</v>
      </c>
      <c r="C34" s="1" t="s">
        <v>382</v>
      </c>
      <c r="D34" s="1" t="s">
        <v>692</v>
      </c>
      <c r="E34" s="32">
        <v>24</v>
      </c>
      <c r="F34" s="32">
        <f>E34*30</f>
        <v>720</v>
      </c>
      <c r="G34" s="32">
        <f>F34*12</f>
        <v>8640</v>
      </c>
      <c r="H34" s="1"/>
      <c r="I34" s="1"/>
      <c r="J34" s="1"/>
    </row>
    <row r="35" spans="1:10">
      <c r="A35" s="17"/>
      <c r="B35" s="17" t="s">
        <v>693</v>
      </c>
      <c r="C35" s="19"/>
      <c r="D35" s="19"/>
      <c r="E35" s="41">
        <f>SUM(E29:E34)</f>
        <v>144</v>
      </c>
      <c r="F35" s="41">
        <f>SUM(F29:F34)</f>
        <v>4320</v>
      </c>
      <c r="G35" s="41">
        <f>SUM(G29:G34)</f>
        <v>51840</v>
      </c>
      <c r="H35" s="19"/>
      <c r="I35" s="19"/>
      <c r="J35" s="19"/>
    </row>
    <row r="36" spans="1:10">
      <c r="A36" s="44"/>
      <c r="B36" s="44" t="s">
        <v>694</v>
      </c>
      <c r="C36" s="45"/>
      <c r="D36" s="45"/>
      <c r="E36" s="45"/>
      <c r="F36" s="45"/>
      <c r="G36" s="45"/>
      <c r="H36" s="56">
        <f>Assumptions!B19</f>
        <v>2</v>
      </c>
      <c r="I36" s="45"/>
      <c r="J36" s="45"/>
    </row>
    <row r="37" spans="1:10">
      <c r="A37" s="57"/>
      <c r="B37" s="57" t="s">
        <v>695</v>
      </c>
      <c r="C37" s="58"/>
      <c r="D37" s="58"/>
      <c r="E37" s="58"/>
      <c r="F37" s="58"/>
      <c r="G37" s="58"/>
      <c r="H37" s="58"/>
      <c r="I37" s="59">
        <f>G35*H36</f>
        <v>103680</v>
      </c>
      <c r="J37" s="58"/>
    </row>
    <row r="39" spans="1:10">
      <c r="A39" s="82" t="s">
        <v>696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9"/>
      <c r="B40" s="9" t="s">
        <v>128</v>
      </c>
      <c r="C40" s="11"/>
      <c r="D40" s="11"/>
      <c r="E40" s="11"/>
      <c r="F40" s="11"/>
      <c r="G40" s="11"/>
      <c r="H40" s="11"/>
      <c r="I40" s="43">
        <f>Assumptions!B27</f>
        <v>15600</v>
      </c>
      <c r="J40" s="11"/>
    </row>
    <row r="41" spans="1:10">
      <c r="A41" s="9"/>
      <c r="B41" s="9" t="s">
        <v>129</v>
      </c>
      <c r="C41" s="11"/>
      <c r="D41" s="11"/>
      <c r="E41" s="11"/>
      <c r="F41" s="11"/>
      <c r="G41" s="11"/>
      <c r="H41" s="11"/>
      <c r="I41" s="43">
        <f>Assumptions!B28</f>
        <v>21060</v>
      </c>
      <c r="J41" s="11"/>
    </row>
    <row r="43" spans="1:10">
      <c r="A43" s="1" t="s">
        <v>697</v>
      </c>
      <c r="B43" s="1" t="s">
        <v>698</v>
      </c>
      <c r="C43" s="1" t="s">
        <v>699</v>
      </c>
      <c r="D43" s="1" t="s">
        <v>700</v>
      </c>
      <c r="E43" s="32">
        <v>5</v>
      </c>
      <c r="F43" s="32">
        <v>200</v>
      </c>
      <c r="G43" s="32">
        <f>E43*F43*12</f>
        <v>12000</v>
      </c>
      <c r="H43" s="60">
        <f>Assumptions!B26</f>
        <v>1.3</v>
      </c>
      <c r="I43" s="2">
        <f>G43*H43</f>
        <v>15600</v>
      </c>
      <c r="J43" s="1" t="s">
        <v>701</v>
      </c>
    </row>
    <row r="44" spans="1:10">
      <c r="A44" s="1" t="s">
        <v>484</v>
      </c>
      <c r="B44" s="1" t="s">
        <v>702</v>
      </c>
      <c r="C44" s="1" t="s">
        <v>703</v>
      </c>
      <c r="D44" s="1" t="s">
        <v>704</v>
      </c>
      <c r="E44" s="32">
        <v>1</v>
      </c>
      <c r="F44" s="32">
        <v>150</v>
      </c>
      <c r="G44" s="32">
        <f>E44*F44*12</f>
        <v>1800</v>
      </c>
      <c r="H44" s="60">
        <f>Assumptions!B26</f>
        <v>1.3</v>
      </c>
      <c r="I44" s="2">
        <f>G44*H44</f>
        <v>2340</v>
      </c>
      <c r="J44" s="1"/>
    </row>
    <row r="45" spans="1:10">
      <c r="A45" s="1" t="s">
        <v>484</v>
      </c>
      <c r="B45" s="1" t="s">
        <v>705</v>
      </c>
      <c r="C45" s="1" t="s">
        <v>703</v>
      </c>
      <c r="D45" s="1" t="s">
        <v>704</v>
      </c>
      <c r="E45" s="32">
        <v>1</v>
      </c>
      <c r="F45" s="32">
        <v>150</v>
      </c>
      <c r="G45" s="32">
        <f>E45*F45*12</f>
        <v>1800</v>
      </c>
      <c r="H45" s="60">
        <f>Assumptions!B26</f>
        <v>1.3</v>
      </c>
      <c r="I45" s="2">
        <f>G45*H45</f>
        <v>2340</v>
      </c>
      <c r="J45" s="1" t="s">
        <v>706</v>
      </c>
    </row>
    <row r="46" spans="1:10">
      <c r="A46" s="1" t="s">
        <v>484</v>
      </c>
      <c r="B46" s="1" t="s">
        <v>707</v>
      </c>
      <c r="C46" s="1" t="s">
        <v>703</v>
      </c>
      <c r="D46" s="1" t="s">
        <v>708</v>
      </c>
      <c r="E46" s="32">
        <v>1</v>
      </c>
      <c r="F46" s="32">
        <v>120</v>
      </c>
      <c r="G46" s="32">
        <f>E46*F46*12</f>
        <v>1440</v>
      </c>
      <c r="H46" s="60">
        <f>Assumptions!B26</f>
        <v>1.3</v>
      </c>
      <c r="I46" s="2">
        <f>G46*H46</f>
        <v>1872</v>
      </c>
      <c r="J46" s="1" t="s">
        <v>709</v>
      </c>
    </row>
    <row r="47" spans="1:10">
      <c r="A47" s="1" t="s">
        <v>484</v>
      </c>
      <c r="B47" s="1" t="s">
        <v>710</v>
      </c>
      <c r="C47" s="1" t="s">
        <v>703</v>
      </c>
      <c r="D47" s="1" t="s">
        <v>711</v>
      </c>
      <c r="E47" s="32">
        <v>1</v>
      </c>
      <c r="F47" s="32">
        <v>180</v>
      </c>
      <c r="G47" s="32">
        <f>E47*F47*12</f>
        <v>2160</v>
      </c>
      <c r="H47" s="60">
        <f>Assumptions!B26</f>
        <v>1.3</v>
      </c>
      <c r="I47" s="2">
        <f>G47*H47</f>
        <v>2808</v>
      </c>
      <c r="J47" s="1" t="s">
        <v>712</v>
      </c>
    </row>
    <row r="48" spans="1:10">
      <c r="A48" s="1" t="s">
        <v>713</v>
      </c>
      <c r="B48" s="1" t="s">
        <v>714</v>
      </c>
      <c r="C48" s="1" t="s">
        <v>715</v>
      </c>
      <c r="D48" s="1" t="s">
        <v>716</v>
      </c>
      <c r="E48" s="32">
        <v>2</v>
      </c>
      <c r="F48" s="32">
        <v>150</v>
      </c>
      <c r="G48" s="32">
        <f>E48*F48*12</f>
        <v>3600</v>
      </c>
      <c r="H48" s="60">
        <f>Assumptions!B26</f>
        <v>1.3</v>
      </c>
      <c r="I48" s="2">
        <f>G48*H48</f>
        <v>4680</v>
      </c>
      <c r="J48" s="1" t="s">
        <v>717</v>
      </c>
    </row>
    <row r="49" spans="1:10">
      <c r="A49" s="1" t="s">
        <v>596</v>
      </c>
      <c r="B49" s="1" t="s">
        <v>718</v>
      </c>
      <c r="C49" s="1" t="s">
        <v>719</v>
      </c>
      <c r="D49" s="1" t="s">
        <v>720</v>
      </c>
      <c r="E49" s="1"/>
      <c r="F49" s="1"/>
      <c r="G49" s="1"/>
      <c r="H49" s="1"/>
      <c r="I49" s="1"/>
      <c r="J49" s="1" t="s">
        <v>721</v>
      </c>
    </row>
    <row r="50" spans="1:10">
      <c r="A50" s="17"/>
      <c r="B50" s="17" t="s">
        <v>722</v>
      </c>
      <c r="C50" s="19"/>
      <c r="D50" s="19"/>
      <c r="E50" s="19"/>
      <c r="F50" s="19"/>
      <c r="G50" s="41">
        <f>SUM(G43:G48)</f>
        <v>22800</v>
      </c>
      <c r="H50" s="19"/>
      <c r="I50" s="34">
        <f>SUM(I43:I48)</f>
        <v>29640</v>
      </c>
      <c r="J50" s="19" t="s">
        <v>723</v>
      </c>
    </row>
    <row r="52" spans="1:10">
      <c r="A52" s="85" t="s">
        <v>724</v>
      </c>
      <c r="B52" s="85"/>
      <c r="C52" s="85"/>
      <c r="D52" s="85"/>
      <c r="E52" s="85"/>
      <c r="F52" s="85"/>
      <c r="G52" s="85"/>
      <c r="H52" s="85"/>
      <c r="I52" s="85"/>
      <c r="J52" s="85"/>
    </row>
    <row r="53" spans="1:10">
      <c r="A53" s="9"/>
      <c r="B53" s="9" t="s">
        <v>576</v>
      </c>
      <c r="C53" s="11"/>
      <c r="D53" s="11"/>
      <c r="E53" s="11"/>
      <c r="F53" s="11"/>
      <c r="G53" s="11"/>
      <c r="H53" s="11"/>
      <c r="I53" s="43">
        <f>I24</f>
        <v>1323470.6100000001</v>
      </c>
      <c r="J53" s="11"/>
    </row>
    <row r="54" spans="1:10">
      <c r="A54" s="9"/>
      <c r="B54" s="9" t="s">
        <v>568</v>
      </c>
      <c r="C54" s="11"/>
      <c r="D54" s="11"/>
      <c r="E54" s="11"/>
      <c r="F54" s="11"/>
      <c r="G54" s="11"/>
      <c r="H54" s="11"/>
      <c r="I54" s="43">
        <f>G35*H36</f>
        <v>103680</v>
      </c>
      <c r="J54" s="11"/>
    </row>
    <row r="55" spans="1:10">
      <c r="A55" s="9"/>
      <c r="B55" s="9" t="s">
        <v>583</v>
      </c>
      <c r="C55" s="11"/>
      <c r="D55" s="11"/>
      <c r="E55" s="11"/>
      <c r="F55" s="11"/>
      <c r="G55" s="11"/>
      <c r="H55" s="11"/>
      <c r="I55" s="43">
        <f>SUM(I43:I48)</f>
        <v>29640</v>
      </c>
      <c r="J55" s="11"/>
    </row>
    <row r="56" spans="1:10">
      <c r="A56" s="57"/>
      <c r="B56" s="57" t="s">
        <v>725</v>
      </c>
      <c r="C56" s="58"/>
      <c r="D56" s="58"/>
      <c r="E56" s="58"/>
      <c r="F56" s="58"/>
      <c r="G56" s="58"/>
      <c r="H56" s="58"/>
      <c r="I56" s="59">
        <f>SUM(I53:I55)</f>
        <v>1456790.61</v>
      </c>
      <c r="J56" s="58"/>
    </row>
  </sheetData>
  <mergeCells count="4">
    <mergeCell ref="A2:J2"/>
    <mergeCell ref="A27:J27"/>
    <mergeCell ref="A39:J39"/>
    <mergeCell ref="A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L39"/>
  <sheetViews>
    <sheetView topLeftCell="H6" zoomScaleNormal="100" workbookViewId="0">
      <selection activeCell="L41" sqref="L41"/>
    </sheetView>
  </sheetViews>
  <sheetFormatPr defaultColWidth="8.7109375" defaultRowHeight="15"/>
  <cols>
    <col min="1" max="1" width="45.5703125" customWidth="1"/>
    <col min="2" max="2" width="24" customWidth="1"/>
    <col min="3" max="3" width="8" customWidth="1"/>
    <col min="4" max="6" width="16" customWidth="1"/>
    <col min="7" max="7" width="18" customWidth="1"/>
    <col min="8" max="8" width="58" customWidth="1"/>
    <col min="9" max="9" width="9.7109375" bestFit="1" customWidth="1"/>
    <col min="10" max="10" width="20.42578125" bestFit="1" customWidth="1"/>
    <col min="11" max="11" width="23.85546875" customWidth="1"/>
    <col min="12" max="12" width="26.42578125" bestFit="1" customWidth="1"/>
  </cols>
  <sheetData>
    <row r="1" spans="1:8">
      <c r="A1" s="26" t="s">
        <v>726</v>
      </c>
      <c r="B1" s="26"/>
      <c r="C1" s="28"/>
      <c r="D1" s="28"/>
      <c r="E1" s="28"/>
      <c r="F1" s="28"/>
      <c r="G1" s="28"/>
      <c r="H1" s="28"/>
    </row>
    <row r="2" spans="1:8">
      <c r="A2" s="4" t="s">
        <v>727</v>
      </c>
      <c r="B2" s="47">
        <f>OPEX_Operations!F53/12</f>
        <v>337210.98333333334</v>
      </c>
    </row>
    <row r="3" spans="1:8">
      <c r="A3" s="4" t="s">
        <v>728</v>
      </c>
      <c r="B3" s="47">
        <f>(Assumptions!B40+Assumptions!B41+Assumptions!B42)/12</f>
        <v>1000000</v>
      </c>
    </row>
    <row r="4" spans="1:8">
      <c r="A4" s="4" t="s">
        <v>729</v>
      </c>
      <c r="B4" s="48">
        <v>0.14000000000000001</v>
      </c>
      <c r="C4" s="49" t="s">
        <v>730</v>
      </c>
    </row>
    <row r="6" spans="1:8" ht="26.85">
      <c r="A6" s="15" t="s">
        <v>731</v>
      </c>
      <c r="B6" s="15" t="s">
        <v>311</v>
      </c>
      <c r="C6" s="15" t="s">
        <v>732</v>
      </c>
      <c r="D6" s="15" t="s">
        <v>733</v>
      </c>
      <c r="E6" s="15" t="s">
        <v>734</v>
      </c>
      <c r="F6" s="15" t="s">
        <v>735</v>
      </c>
      <c r="G6" s="15" t="s">
        <v>736</v>
      </c>
      <c r="H6" s="15" t="s">
        <v>737</v>
      </c>
    </row>
    <row r="7" spans="1:8">
      <c r="A7" s="1" t="s">
        <v>321</v>
      </c>
      <c r="B7" s="1" t="s">
        <v>738</v>
      </c>
      <c r="C7" s="16">
        <v>0</v>
      </c>
      <c r="D7" s="2">
        <f>$B$2*MAX(C7,$B$4)</f>
        <v>47209.537666666671</v>
      </c>
      <c r="E7" s="2">
        <f>$B$3*C7</f>
        <v>0</v>
      </c>
      <c r="F7" s="2">
        <f>E7-D7</f>
        <v>-47209.537666666671</v>
      </c>
      <c r="G7" s="2">
        <f>F7</f>
        <v>-47209.537666666671</v>
      </c>
      <c r="H7" s="1" t="s">
        <v>739</v>
      </c>
    </row>
    <row r="8" spans="1:8">
      <c r="A8" s="1" t="s">
        <v>511</v>
      </c>
      <c r="B8" s="1" t="s">
        <v>738</v>
      </c>
      <c r="C8" s="16">
        <v>0</v>
      </c>
      <c r="D8" s="2">
        <f>$B$2*MAX(C8,$B$4)</f>
        <v>47209.537666666671</v>
      </c>
      <c r="E8" s="2">
        <f>$B$3*C8</f>
        <v>0</v>
      </c>
      <c r="F8" s="2">
        <f>E8-D8</f>
        <v>-47209.537666666671</v>
      </c>
      <c r="G8" s="2">
        <f>G7+F8</f>
        <v>-94419.075333333341</v>
      </c>
      <c r="H8" s="1" t="s">
        <v>740</v>
      </c>
    </row>
    <row r="9" spans="1:8">
      <c r="A9" s="1" t="s">
        <v>370</v>
      </c>
      <c r="B9" s="1" t="s">
        <v>741</v>
      </c>
      <c r="C9" s="16">
        <v>0.05</v>
      </c>
      <c r="D9" s="2">
        <f>$B$2*MAX(C9,$B$4)</f>
        <v>47209.537666666671</v>
      </c>
      <c r="E9" s="2">
        <f>$B$3*C9</f>
        <v>50000</v>
      </c>
      <c r="F9" s="2">
        <f>E9-D9</f>
        <v>2790.4623333333293</v>
      </c>
      <c r="G9" s="2">
        <f>G8+F9</f>
        <v>-91628.613000000012</v>
      </c>
      <c r="H9" s="1" t="s">
        <v>742</v>
      </c>
    </row>
    <row r="10" spans="1:8">
      <c r="A10" s="1" t="s">
        <v>426</v>
      </c>
      <c r="B10" s="1" t="s">
        <v>741</v>
      </c>
      <c r="C10" s="16">
        <v>0.08</v>
      </c>
      <c r="D10" s="2">
        <f>$B$2*MAX(C10,$B$4)</f>
        <v>47209.537666666671</v>
      </c>
      <c r="E10" s="2">
        <f>$B$3*C10</f>
        <v>80000</v>
      </c>
      <c r="F10" s="2">
        <f>E10-D10</f>
        <v>32790.462333333329</v>
      </c>
      <c r="G10" s="2">
        <f>G9+F10</f>
        <v>-58838.150666666683</v>
      </c>
      <c r="H10" s="1" t="s">
        <v>743</v>
      </c>
    </row>
    <row r="11" spans="1:8">
      <c r="A11" s="1" t="s">
        <v>523</v>
      </c>
      <c r="B11" s="1" t="s">
        <v>741</v>
      </c>
      <c r="C11" s="16">
        <v>0.1</v>
      </c>
      <c r="D11" s="2">
        <f>$B$2*MAX(C11,$B$4)</f>
        <v>47209.537666666671</v>
      </c>
      <c r="E11" s="2">
        <f>$B$3*C11</f>
        <v>100000</v>
      </c>
      <c r="F11" s="2">
        <f>E11-D11</f>
        <v>52790.462333333329</v>
      </c>
      <c r="G11" s="2">
        <f>G10+F11</f>
        <v>-6047.6883333333535</v>
      </c>
      <c r="H11" s="1" t="s">
        <v>744</v>
      </c>
    </row>
    <row r="12" spans="1:8">
      <c r="A12" s="1" t="s">
        <v>513</v>
      </c>
      <c r="B12" s="1" t="s">
        <v>741</v>
      </c>
      <c r="C12" s="16">
        <v>0.12</v>
      </c>
      <c r="D12" s="2">
        <f>$B$2*MAX(C12,$B$4)</f>
        <v>47209.537666666671</v>
      </c>
      <c r="E12" s="2">
        <f>$B$3*C12</f>
        <v>120000</v>
      </c>
      <c r="F12" s="2">
        <f>E12-D12</f>
        <v>72790.462333333329</v>
      </c>
      <c r="G12" s="2">
        <f>G11+F12</f>
        <v>66742.773999999976</v>
      </c>
      <c r="H12" s="1" t="s">
        <v>745</v>
      </c>
    </row>
    <row r="13" spans="1:8">
      <c r="A13" s="1" t="s">
        <v>746</v>
      </c>
      <c r="B13" s="1" t="s">
        <v>747</v>
      </c>
      <c r="C13" s="16">
        <v>0.12</v>
      </c>
      <c r="D13" s="2">
        <f>$B$2*MAX(C13,$B$4)</f>
        <v>47209.537666666671</v>
      </c>
      <c r="E13" s="2">
        <f>$B$3*C13</f>
        <v>120000</v>
      </c>
      <c r="F13" s="2">
        <f>E13-D13</f>
        <v>72790.462333333329</v>
      </c>
      <c r="G13" s="2">
        <f>G12+F13</f>
        <v>139533.23633333331</v>
      </c>
      <c r="H13" s="1" t="s">
        <v>748</v>
      </c>
    </row>
    <row r="14" spans="1:8">
      <c r="A14" s="1" t="s">
        <v>15</v>
      </c>
      <c r="B14" s="1" t="s">
        <v>749</v>
      </c>
      <c r="C14" s="16">
        <v>0.15</v>
      </c>
      <c r="D14" s="2">
        <f>$B$2*MAX(C14,$B$4)</f>
        <v>50581.647499999999</v>
      </c>
      <c r="E14" s="2">
        <f>$B$3*C14</f>
        <v>150000</v>
      </c>
      <c r="F14" s="2">
        <f>E14-D14</f>
        <v>99418.352500000008</v>
      </c>
      <c r="G14" s="2">
        <f>G13+F14</f>
        <v>238951.58883333331</v>
      </c>
      <c r="H14" s="4" t="s">
        <v>750</v>
      </c>
    </row>
    <row r="15" spans="1:8">
      <c r="A15" s="1" t="s">
        <v>751</v>
      </c>
      <c r="B15" s="1" t="s">
        <v>749</v>
      </c>
      <c r="C15" s="16">
        <v>0.25</v>
      </c>
      <c r="D15" s="2">
        <f>$B$2*MAX(C15,$B$4)</f>
        <v>84302.745833333334</v>
      </c>
      <c r="E15" s="2">
        <f>$B$3*C15</f>
        <v>250000</v>
      </c>
      <c r="F15" s="2">
        <f>E15-D15</f>
        <v>165697.25416666665</v>
      </c>
      <c r="G15" s="2">
        <f>G14+F15</f>
        <v>404648.84299999999</v>
      </c>
      <c r="H15" s="1" t="s">
        <v>752</v>
      </c>
    </row>
    <row r="16" spans="1:8">
      <c r="A16" s="1" t="s">
        <v>428</v>
      </c>
      <c r="B16" s="1" t="s">
        <v>749</v>
      </c>
      <c r="C16" s="16">
        <v>0.35</v>
      </c>
      <c r="D16" s="2">
        <f>$B$2*MAX(C16,$B$4)</f>
        <v>118023.84416666666</v>
      </c>
      <c r="E16" s="2">
        <f>$B$3*C16</f>
        <v>350000</v>
      </c>
      <c r="F16" s="2">
        <f>E16-D16</f>
        <v>231976.15583333332</v>
      </c>
      <c r="G16" s="2">
        <f>G15+F16</f>
        <v>636624.99883333337</v>
      </c>
      <c r="H16" s="1" t="s">
        <v>753</v>
      </c>
    </row>
    <row r="17" spans="1:12">
      <c r="A17" s="1" t="s">
        <v>754</v>
      </c>
      <c r="B17" s="1" t="s">
        <v>749</v>
      </c>
      <c r="C17" s="16">
        <v>0.42</v>
      </c>
      <c r="D17" s="2">
        <f>$B$2*MAX(C17,$B$4)</f>
        <v>141628.61299999998</v>
      </c>
      <c r="E17" s="2">
        <f>$B$3*C17</f>
        <v>420000</v>
      </c>
      <c r="F17" s="2">
        <f>E17-D17</f>
        <v>278371.38699999999</v>
      </c>
      <c r="G17" s="2">
        <f>G16+F17</f>
        <v>914996.38583333336</v>
      </c>
      <c r="H17" s="1" t="s">
        <v>755</v>
      </c>
    </row>
    <row r="18" spans="1:12">
      <c r="A18" s="1" t="s">
        <v>18</v>
      </c>
      <c r="B18" s="1" t="s">
        <v>749</v>
      </c>
      <c r="C18" s="16">
        <v>0.48</v>
      </c>
      <c r="D18" s="2">
        <f>$B$2*MAX(C18,$B$4)</f>
        <v>161861.272</v>
      </c>
      <c r="E18" s="2">
        <f>$B$3*C18</f>
        <v>480000</v>
      </c>
      <c r="F18" s="2">
        <f>E18-D18</f>
        <v>318138.728</v>
      </c>
      <c r="G18" s="2">
        <f>G17+F18</f>
        <v>1233135.1138333334</v>
      </c>
      <c r="H18" s="4" t="s">
        <v>756</v>
      </c>
    </row>
    <row r="19" spans="1:12">
      <c r="A19" s="1" t="s">
        <v>757</v>
      </c>
      <c r="B19" s="1" t="s">
        <v>758</v>
      </c>
      <c r="C19" s="16">
        <v>0.52</v>
      </c>
      <c r="D19" s="2">
        <f>$B$2*MAX(C19,$B$4)</f>
        <v>175349.71133333334</v>
      </c>
      <c r="E19" s="2">
        <f>$B$3*C19</f>
        <v>520000</v>
      </c>
      <c r="F19" s="2">
        <f>E19-D19</f>
        <v>344650.28866666666</v>
      </c>
      <c r="G19" s="2">
        <f>G18+F19</f>
        <v>1577785.4025000001</v>
      </c>
      <c r="H19" s="1" t="s">
        <v>759</v>
      </c>
    </row>
    <row r="20" spans="1:12">
      <c r="A20" s="1" t="s">
        <v>760</v>
      </c>
      <c r="B20" s="1" t="s">
        <v>758</v>
      </c>
      <c r="C20" s="16">
        <v>0.55000000000000004</v>
      </c>
      <c r="D20" s="2">
        <f>$B$2*MAX(C20,$B$4)</f>
        <v>185466.04083333336</v>
      </c>
      <c r="E20" s="2">
        <f>$B$3*C20</f>
        <v>550000</v>
      </c>
      <c r="F20" s="2">
        <f>E20-D20</f>
        <v>364533.95916666661</v>
      </c>
      <c r="G20" s="2">
        <f>G19+F20</f>
        <v>1942319.3616666668</v>
      </c>
      <c r="H20" s="1" t="s">
        <v>761</v>
      </c>
    </row>
    <row r="21" spans="1:12">
      <c r="A21" s="1" t="s">
        <v>762</v>
      </c>
      <c r="B21" s="1" t="s">
        <v>758</v>
      </c>
      <c r="C21" s="16">
        <v>0.57999999999999996</v>
      </c>
      <c r="D21" s="2">
        <f>$B$2*MAX(C21,$B$4)</f>
        <v>195582.37033333333</v>
      </c>
      <c r="E21" s="2">
        <f>$B$3*C21</f>
        <v>580000</v>
      </c>
      <c r="F21" s="2">
        <f>E21-D21</f>
        <v>384417.62966666667</v>
      </c>
      <c r="G21" s="2">
        <f>G20+F21</f>
        <v>2326736.9913333333</v>
      </c>
      <c r="H21" s="1" t="s">
        <v>763</v>
      </c>
    </row>
    <row r="22" spans="1:12">
      <c r="A22" s="1" t="s">
        <v>764</v>
      </c>
      <c r="B22" s="1" t="s">
        <v>758</v>
      </c>
      <c r="C22" s="16">
        <v>0.62</v>
      </c>
      <c r="D22" s="2">
        <f>$B$2*MAX(C22,$B$4)</f>
        <v>209070.80966666667</v>
      </c>
      <c r="E22" s="2">
        <f>$B$3*C22</f>
        <v>620000</v>
      </c>
      <c r="F22" s="2">
        <f>E22-D22</f>
        <v>410929.19033333333</v>
      </c>
      <c r="G22" s="2">
        <f>G21+F22</f>
        <v>2737666.1816666666</v>
      </c>
      <c r="H22" s="1" t="s">
        <v>765</v>
      </c>
    </row>
    <row r="23" spans="1:12">
      <c r="A23" s="1" t="s">
        <v>766</v>
      </c>
      <c r="B23" s="1" t="s">
        <v>758</v>
      </c>
      <c r="C23" s="16">
        <v>0.66</v>
      </c>
      <c r="D23" s="2">
        <f>$B$2*MAX(C23,$B$4)</f>
        <v>222559.24900000001</v>
      </c>
      <c r="E23" s="2">
        <f>$B$3*C23</f>
        <v>660000</v>
      </c>
      <c r="F23" s="2">
        <f>E23-D23</f>
        <v>437440.75099999999</v>
      </c>
      <c r="G23" s="2">
        <f>G22+F23</f>
        <v>3175106.9326666668</v>
      </c>
      <c r="H23" s="1" t="s">
        <v>767</v>
      </c>
    </row>
    <row r="24" spans="1:12">
      <c r="A24" s="1" t="s">
        <v>768</v>
      </c>
      <c r="B24" s="1" t="s">
        <v>758</v>
      </c>
      <c r="C24" s="16">
        <v>0.7</v>
      </c>
      <c r="D24" s="2">
        <f>$B$2*MAX(C24,$B$4)</f>
        <v>236047.68833333332</v>
      </c>
      <c r="E24" s="2">
        <f>$B$3*C24</f>
        <v>700000</v>
      </c>
      <c r="F24" s="2">
        <f>E24-D24</f>
        <v>463952.31166666665</v>
      </c>
      <c r="G24" s="2">
        <f>G23+F24</f>
        <v>3639059.2443333333</v>
      </c>
      <c r="H24" s="4" t="s">
        <v>769</v>
      </c>
    </row>
    <row r="25" spans="1:12">
      <c r="A25" s="1" t="s">
        <v>770</v>
      </c>
      <c r="B25" s="1" t="s">
        <v>771</v>
      </c>
      <c r="C25" s="16">
        <v>0.74</v>
      </c>
      <c r="D25" s="2">
        <f>$B$2*MAX(C25,$B$4)</f>
        <v>249536.12766666667</v>
      </c>
      <c r="E25" s="2">
        <f>$B$3*C25</f>
        <v>740000</v>
      </c>
      <c r="F25" s="2">
        <f>E25-D25</f>
        <v>490463.87233333336</v>
      </c>
      <c r="G25" s="2">
        <f>G24+F25</f>
        <v>4129523.1166666667</v>
      </c>
      <c r="H25" s="1" t="s">
        <v>772</v>
      </c>
    </row>
    <row r="26" spans="1:12">
      <c r="A26" s="1" t="s">
        <v>773</v>
      </c>
      <c r="B26" s="1" t="s">
        <v>771</v>
      </c>
      <c r="C26" s="16">
        <v>0.78</v>
      </c>
      <c r="D26" s="2">
        <f>$B$2*MAX(C26,$B$4)</f>
        <v>263024.56700000004</v>
      </c>
      <c r="E26" s="2">
        <f>$B$3*C26</f>
        <v>780000</v>
      </c>
      <c r="F26" s="2">
        <f>E26-D26</f>
        <v>516975.43299999996</v>
      </c>
      <c r="G26" s="2">
        <f>G25+F26</f>
        <v>4646498.5496666664</v>
      </c>
      <c r="H26" s="1" t="s">
        <v>774</v>
      </c>
    </row>
    <row r="27" spans="1:12">
      <c r="A27" s="1" t="s">
        <v>775</v>
      </c>
      <c r="B27" s="1" t="s">
        <v>771</v>
      </c>
      <c r="C27" s="16">
        <v>0.82</v>
      </c>
      <c r="D27" s="2">
        <f>$B$2*MAX(C27,$B$4)</f>
        <v>276513.00633333332</v>
      </c>
      <c r="E27" s="2">
        <f>$B$3*C27</f>
        <v>820000</v>
      </c>
      <c r="F27" s="2">
        <f>E27-D27</f>
        <v>543486.99366666668</v>
      </c>
      <c r="G27" s="2">
        <f>G26+F27</f>
        <v>5189985.543333333</v>
      </c>
      <c r="H27" s="1" t="s">
        <v>776</v>
      </c>
    </row>
    <row r="28" spans="1:12">
      <c r="A28" s="1" t="s">
        <v>777</v>
      </c>
      <c r="B28" s="1" t="s">
        <v>771</v>
      </c>
      <c r="C28" s="16">
        <v>0.86</v>
      </c>
      <c r="D28" s="2">
        <f>$B$2*MAX(C28,$B$4)</f>
        <v>290001.44566666667</v>
      </c>
      <c r="E28" s="2">
        <f>$B$3*C28</f>
        <v>860000</v>
      </c>
      <c r="F28" s="2">
        <f>E28-D28</f>
        <v>569998.55433333339</v>
      </c>
      <c r="G28" s="2">
        <f>G27+F28</f>
        <v>5759984.0976666659</v>
      </c>
      <c r="H28" s="1" t="s">
        <v>778</v>
      </c>
    </row>
    <row r="29" spans="1:12">
      <c r="A29" s="1" t="s">
        <v>779</v>
      </c>
      <c r="B29" s="1" t="s">
        <v>771</v>
      </c>
      <c r="C29" s="16">
        <v>0.9</v>
      </c>
      <c r="D29" s="2">
        <f>$B$2*MAX(C29,$B$4)</f>
        <v>303489.88500000001</v>
      </c>
      <c r="E29" s="2">
        <f>$B$3*C29</f>
        <v>900000</v>
      </c>
      <c r="F29" s="2">
        <f>E29-D29</f>
        <v>596510.11499999999</v>
      </c>
      <c r="G29" s="2">
        <f>G28+F29</f>
        <v>6356494.2126666661</v>
      </c>
      <c r="H29" s="1" t="s">
        <v>780</v>
      </c>
    </row>
    <row r="30" spans="1:12">
      <c r="A30" s="1" t="s">
        <v>452</v>
      </c>
      <c r="B30" s="1" t="s">
        <v>771</v>
      </c>
      <c r="C30" s="16">
        <v>0.95</v>
      </c>
      <c r="D30" s="2">
        <f>$B$2*MAX(C30,$B$4)</f>
        <v>320350.43416666664</v>
      </c>
      <c r="E30" s="2">
        <f>$B$3*C30</f>
        <v>950000</v>
      </c>
      <c r="F30" s="2">
        <f>E30-D30</f>
        <v>629649.56583333341</v>
      </c>
      <c r="G30" s="2">
        <f>G29+F30</f>
        <v>6986143.7785</v>
      </c>
      <c r="H30" s="4" t="s">
        <v>781</v>
      </c>
    </row>
    <row r="32" spans="1:12">
      <c r="A32" s="81" t="s">
        <v>782</v>
      </c>
      <c r="B32" s="81"/>
      <c r="C32" s="81"/>
      <c r="D32" s="81"/>
      <c r="E32" s="81"/>
      <c r="F32" s="81"/>
      <c r="G32" s="81"/>
      <c r="H32" s="81"/>
      <c r="J32" s="72" t="s">
        <v>783</v>
      </c>
      <c r="K32" s="72" t="s">
        <v>784</v>
      </c>
      <c r="L32" s="72" t="s">
        <v>785</v>
      </c>
    </row>
    <row r="33" spans="1:12">
      <c r="A33" s="35"/>
      <c r="B33" s="35" t="s">
        <v>786</v>
      </c>
      <c r="C33" s="36"/>
      <c r="D33" s="36"/>
      <c r="E33" s="36"/>
      <c r="F33" s="36"/>
      <c r="G33" s="37">
        <f>MIN(G7:G30)</f>
        <v>-94419.075333333341</v>
      </c>
      <c r="H33" s="36"/>
      <c r="J33" s="67" t="s">
        <v>787</v>
      </c>
      <c r="K33" s="68" t="s">
        <v>788</v>
      </c>
      <c r="L33" s="68" t="s">
        <v>789</v>
      </c>
    </row>
    <row r="34" spans="1:12">
      <c r="A34" s="35"/>
      <c r="B34" s="35" t="s">
        <v>790</v>
      </c>
      <c r="C34" s="36"/>
      <c r="D34" s="36"/>
      <c r="E34" s="36"/>
      <c r="F34" s="36"/>
      <c r="G34" s="65">
        <f>K36</f>
        <v>25</v>
      </c>
      <c r="H34" s="36" t="s">
        <v>791</v>
      </c>
      <c r="J34" s="67" t="s">
        <v>792</v>
      </c>
      <c r="K34" s="68" t="s">
        <v>793</v>
      </c>
      <c r="L34" s="68" t="s">
        <v>794</v>
      </c>
    </row>
    <row r="35" spans="1:12">
      <c r="A35" s="26"/>
      <c r="B35" s="26" t="s">
        <v>795</v>
      </c>
      <c r="C35" s="28"/>
      <c r="D35" s="28"/>
      <c r="E35" s="28"/>
      <c r="F35" s="28"/>
      <c r="G35" s="50">
        <f>ABS(G33)*G34</f>
        <v>2360476.8833333338</v>
      </c>
      <c r="H35" s="28"/>
      <c r="J35" s="67" t="s">
        <v>796</v>
      </c>
      <c r="K35" s="67" t="s">
        <v>797</v>
      </c>
      <c r="L35" s="68" t="s">
        <v>798</v>
      </c>
    </row>
    <row r="36" spans="1:12">
      <c r="A36" s="51"/>
      <c r="B36" s="51" t="s">
        <v>799</v>
      </c>
      <c r="C36" s="52"/>
      <c r="D36" s="52"/>
      <c r="E36" s="52"/>
      <c r="F36" s="52"/>
      <c r="G36" s="53">
        <f>G35-ABS(G33)</f>
        <v>2266057.8080000002</v>
      </c>
      <c r="H36" s="52" t="s">
        <v>800</v>
      </c>
      <c r="J36" s="69" t="s">
        <v>801</v>
      </c>
      <c r="K36" s="70">
        <v>25</v>
      </c>
      <c r="L36" s="71" t="s">
        <v>802</v>
      </c>
    </row>
    <row r="37" spans="1:12">
      <c r="A37" s="51"/>
      <c r="B37" s="51" t="s">
        <v>803</v>
      </c>
      <c r="C37" s="52"/>
      <c r="D37" s="52"/>
      <c r="E37" s="52"/>
      <c r="F37" s="52"/>
      <c r="G37" s="54">
        <f>IF(G33=0,0,G35/ABS(G33)-1)</f>
        <v>24.000000000000004</v>
      </c>
      <c r="H37" s="52" t="s">
        <v>804</v>
      </c>
      <c r="I37" s="66"/>
    </row>
    <row r="39" spans="1:12" ht="22.35" customHeight="1">
      <c r="A39" s="76"/>
      <c r="B39" s="86" t="s">
        <v>805</v>
      </c>
      <c r="C39" s="86"/>
      <c r="D39" s="86"/>
      <c r="E39" s="86"/>
      <c r="F39" s="86"/>
      <c r="G39" s="86"/>
      <c r="H39" s="86"/>
    </row>
  </sheetData>
  <mergeCells count="2">
    <mergeCell ref="A32:H32"/>
    <mergeCell ref="B39:H3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K22"/>
  <sheetViews>
    <sheetView zoomScaleNormal="100" workbookViewId="0">
      <selection activeCell="L14" sqref="L14"/>
    </sheetView>
  </sheetViews>
  <sheetFormatPr defaultColWidth="8.7109375" defaultRowHeight="15"/>
  <cols>
    <col min="1" max="1" width="10" customWidth="1"/>
    <col min="2" max="2" width="45.42578125" customWidth="1"/>
    <col min="3" max="3" width="28.42578125" customWidth="1"/>
    <col min="4" max="4" width="12" customWidth="1"/>
    <col min="5" max="10" width="16" customWidth="1"/>
    <col min="11" max="11" width="76.28515625" customWidth="1"/>
  </cols>
  <sheetData>
    <row r="1" spans="1:11">
      <c r="A1" s="15" t="s">
        <v>204</v>
      </c>
      <c r="B1" s="15" t="s">
        <v>59</v>
      </c>
      <c r="C1" s="15" t="s">
        <v>806</v>
      </c>
      <c r="D1" s="15" t="s">
        <v>807</v>
      </c>
      <c r="E1" s="15" t="s">
        <v>554</v>
      </c>
      <c r="F1" s="15" t="s">
        <v>555</v>
      </c>
      <c r="G1" s="15" t="s">
        <v>556</v>
      </c>
      <c r="H1" s="15" t="s">
        <v>557</v>
      </c>
      <c r="I1" s="15" t="s">
        <v>558</v>
      </c>
      <c r="J1" s="15" t="s">
        <v>808</v>
      </c>
      <c r="K1" s="15" t="s">
        <v>72</v>
      </c>
    </row>
    <row r="2" spans="1:11">
      <c r="A2" s="81" t="s">
        <v>809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1">
      <c r="A3" s="1" t="s">
        <v>214</v>
      </c>
      <c r="B3" s="1" t="s">
        <v>61</v>
      </c>
      <c r="C3" s="1" t="s">
        <v>810</v>
      </c>
      <c r="D3" s="1" t="s">
        <v>811</v>
      </c>
      <c r="E3" s="2">
        <f>Assumptions!B40*Assumptions!B30</f>
        <v>1080000</v>
      </c>
      <c r="F3" s="2">
        <f>Assumptions!B40*Assumptions!B31</f>
        <v>5688000</v>
      </c>
      <c r="G3" s="2">
        <f>Assumptions!B40*Assumptions!B32</f>
        <v>6984000</v>
      </c>
      <c r="H3" s="2">
        <f>Assumptions!B40*Assumptions!B33</f>
        <v>7200000</v>
      </c>
      <c r="I3" s="2">
        <f>Assumptions!B40*Assumptions!B34</f>
        <v>7200000</v>
      </c>
      <c r="J3" s="61">
        <v>0.48</v>
      </c>
      <c r="K3" s="1" t="s">
        <v>812</v>
      </c>
    </row>
    <row r="4" spans="1:11">
      <c r="A4" s="1" t="s">
        <v>263</v>
      </c>
      <c r="B4" s="1" t="s">
        <v>813</v>
      </c>
      <c r="C4" s="1" t="s">
        <v>814</v>
      </c>
      <c r="D4" s="1" t="s">
        <v>815</v>
      </c>
      <c r="E4" s="2">
        <f>Assumptions!B41*Assumptions!B30</f>
        <v>414000</v>
      </c>
      <c r="F4" s="2">
        <f>Assumptions!B41*Assumptions!B31</f>
        <v>2180400</v>
      </c>
      <c r="G4" s="2">
        <f>Assumptions!B41*Assumptions!B32</f>
        <v>2677200</v>
      </c>
      <c r="H4" s="2">
        <f>Assumptions!B41*Assumptions!B33</f>
        <v>2760000</v>
      </c>
      <c r="I4" s="2">
        <f>Assumptions!B41*Assumptions!B34</f>
        <v>2760000</v>
      </c>
      <c r="J4" s="61">
        <v>0.45</v>
      </c>
      <c r="K4" s="1" t="s">
        <v>812</v>
      </c>
    </row>
    <row r="5" spans="1:11">
      <c r="A5" s="1" t="s">
        <v>239</v>
      </c>
      <c r="B5" s="1" t="s">
        <v>816</v>
      </c>
      <c r="C5" s="1" t="s">
        <v>817</v>
      </c>
      <c r="D5" s="1" t="s">
        <v>818</v>
      </c>
      <c r="E5" s="2">
        <f>Assumptions!B42*Assumptions!B30</f>
        <v>306000</v>
      </c>
      <c r="F5" s="2">
        <f>Assumptions!B42*Assumptions!B31</f>
        <v>1611600</v>
      </c>
      <c r="G5" s="2">
        <f>Assumptions!B42*Assumptions!B32</f>
        <v>1978800</v>
      </c>
      <c r="H5" s="2">
        <f>Assumptions!B42*Assumptions!B33</f>
        <v>2040000</v>
      </c>
      <c r="I5" s="2">
        <f>Assumptions!B42*Assumptions!B34</f>
        <v>2040000</v>
      </c>
      <c r="J5" s="61">
        <v>0.52</v>
      </c>
      <c r="K5" s="1" t="s">
        <v>812</v>
      </c>
    </row>
    <row r="6" spans="1:11">
      <c r="A6" s="17"/>
      <c r="B6" s="17" t="s">
        <v>819</v>
      </c>
      <c r="C6" s="19"/>
      <c r="D6" s="19"/>
      <c r="E6" s="34">
        <f>SUM(E3:E5)</f>
        <v>1800000</v>
      </c>
      <c r="F6" s="34">
        <f>SUM(F3:F5)</f>
        <v>9480000</v>
      </c>
      <c r="G6" s="34">
        <f>SUM(G3:G5)</f>
        <v>11640000</v>
      </c>
      <c r="H6" s="34">
        <f>SUM(H3:H5)</f>
        <v>12000000</v>
      </c>
      <c r="I6" s="34">
        <f>SUM(I3:I5)</f>
        <v>12000000</v>
      </c>
      <c r="J6" s="34"/>
      <c r="K6" s="19"/>
    </row>
    <row r="8" spans="1:11">
      <c r="A8" s="81" t="s">
        <v>820</v>
      </c>
      <c r="B8" s="81"/>
      <c r="C8" s="81"/>
      <c r="D8" s="81"/>
      <c r="E8" s="81"/>
      <c r="F8" s="81"/>
      <c r="G8" s="81"/>
      <c r="H8" s="81"/>
      <c r="I8" s="81"/>
      <c r="J8" s="81"/>
      <c r="K8" s="81"/>
    </row>
    <row r="9" spans="1:11">
      <c r="A9" s="1"/>
      <c r="B9" s="1" t="s">
        <v>821</v>
      </c>
      <c r="C9" s="1" t="s">
        <v>822</v>
      </c>
      <c r="D9" s="1"/>
      <c r="E9" s="2">
        <v>0</v>
      </c>
      <c r="F9" s="2">
        <v>0</v>
      </c>
      <c r="G9" s="2">
        <f>Assumptions!B44</f>
        <v>420750</v>
      </c>
      <c r="H9" s="2">
        <f>Assumptions!B45</f>
        <v>981750</v>
      </c>
      <c r="I9" s="2">
        <f>Assumptions!B46</f>
        <v>1544994</v>
      </c>
      <c r="J9" s="2">
        <v>86</v>
      </c>
      <c r="K9" s="1" t="s">
        <v>823</v>
      </c>
    </row>
    <row r="10" spans="1:11">
      <c r="A10" s="1"/>
      <c r="B10" s="1" t="s">
        <v>824</v>
      </c>
      <c r="C10" s="1" t="s">
        <v>825</v>
      </c>
      <c r="D10" s="1"/>
      <c r="E10" s="2">
        <v>0</v>
      </c>
      <c r="F10" s="2">
        <f>Assumptions!B47*Assumptions!B31</f>
        <v>197500</v>
      </c>
      <c r="G10" s="2">
        <f>Assumptions!B47*Assumptions!B32</f>
        <v>242500</v>
      </c>
      <c r="H10" s="2">
        <f>Assumptions!B47</f>
        <v>250000</v>
      </c>
      <c r="I10" s="2">
        <f>Assumptions!B47</f>
        <v>250000</v>
      </c>
      <c r="J10" s="2">
        <v>45</v>
      </c>
      <c r="K10" s="1" t="s">
        <v>826</v>
      </c>
    </row>
    <row r="11" spans="1:11">
      <c r="A11" s="1"/>
      <c r="B11" s="1" t="s">
        <v>827</v>
      </c>
      <c r="C11" s="1" t="s">
        <v>828</v>
      </c>
      <c r="D11" s="1"/>
      <c r="E11" s="2">
        <v>0</v>
      </c>
      <c r="F11" s="2">
        <v>0</v>
      </c>
      <c r="G11" s="2">
        <v>0</v>
      </c>
      <c r="H11" s="2">
        <f>Assumptions!B48</f>
        <v>600000</v>
      </c>
      <c r="I11" s="2">
        <f>Assumptions!B48</f>
        <v>600000</v>
      </c>
      <c r="J11" s="2">
        <v>38</v>
      </c>
      <c r="K11" s="1" t="s">
        <v>829</v>
      </c>
    </row>
    <row r="12" spans="1:11">
      <c r="A12" s="1"/>
      <c r="B12" s="1" t="s">
        <v>830</v>
      </c>
      <c r="C12" s="1" t="s">
        <v>169</v>
      </c>
      <c r="D12" s="1"/>
      <c r="E12" s="2">
        <v>0</v>
      </c>
      <c r="F12" s="2">
        <v>0</v>
      </c>
      <c r="G12" s="2">
        <v>0</v>
      </c>
      <c r="H12" s="2">
        <f>Assumptions!B50</f>
        <v>200000</v>
      </c>
      <c r="I12" s="2">
        <f>Assumptions!B50</f>
        <v>200000</v>
      </c>
      <c r="J12" s="2">
        <v>65</v>
      </c>
      <c r="K12" s="1" t="s">
        <v>831</v>
      </c>
    </row>
    <row r="13" spans="1:11">
      <c r="A13" s="1"/>
      <c r="B13" s="1" t="s">
        <v>832</v>
      </c>
      <c r="C13" s="1" t="s">
        <v>833</v>
      </c>
      <c r="D13" s="1"/>
      <c r="E13" s="2">
        <v>0</v>
      </c>
      <c r="F13" s="2">
        <v>0</v>
      </c>
      <c r="G13" s="2">
        <v>0</v>
      </c>
      <c r="H13" s="2">
        <v>0</v>
      </c>
      <c r="I13" s="2">
        <f>Assumptions!B49</f>
        <v>750000</v>
      </c>
      <c r="J13" s="2">
        <v>75</v>
      </c>
      <c r="K13" s="1" t="s">
        <v>834</v>
      </c>
    </row>
    <row r="14" spans="1:11">
      <c r="A14" s="17"/>
      <c r="B14" s="17" t="s">
        <v>835</v>
      </c>
      <c r="C14" s="19"/>
      <c r="D14" s="19"/>
      <c r="E14" s="34">
        <f>SUM(E9:E13)</f>
        <v>0</v>
      </c>
      <c r="F14" s="34">
        <f>SUM(F9:F13)</f>
        <v>197500</v>
      </c>
      <c r="G14" s="34">
        <f>SUM(G9:G13)</f>
        <v>663250</v>
      </c>
      <c r="H14" s="34">
        <f>SUM(H9:H13)</f>
        <v>2031750</v>
      </c>
      <c r="I14" s="34">
        <f>SUM(I9:I13)</f>
        <v>3344994</v>
      </c>
      <c r="J14" s="34"/>
      <c r="K14" s="19"/>
    </row>
    <row r="16" spans="1:11">
      <c r="A16" s="35"/>
      <c r="B16" s="35" t="s">
        <v>836</v>
      </c>
      <c r="C16" s="36"/>
      <c r="D16" s="36"/>
      <c r="E16" s="37">
        <f>E6+E14</f>
        <v>1800000</v>
      </c>
      <c r="F16" s="37">
        <f>F6+F14</f>
        <v>9677500</v>
      </c>
      <c r="G16" s="37">
        <f>G6+G14</f>
        <v>12303250</v>
      </c>
      <c r="H16" s="37">
        <f>H6+H14</f>
        <v>14031750</v>
      </c>
      <c r="I16" s="37">
        <f>I6+I14</f>
        <v>15344994</v>
      </c>
      <c r="J16" s="37"/>
      <c r="K16" s="36"/>
    </row>
    <row r="18" spans="1:11">
      <c r="A18" s="81" t="s">
        <v>837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</row>
    <row r="19" spans="1:11">
      <c r="A19" s="9"/>
      <c r="B19" s="9" t="s">
        <v>838</v>
      </c>
      <c r="C19" s="11"/>
      <c r="D19" s="11"/>
      <c r="E19" s="43">
        <f>E6</f>
        <v>1800000</v>
      </c>
      <c r="F19" s="43">
        <f>F6</f>
        <v>9480000</v>
      </c>
      <c r="G19" s="43">
        <f>G6</f>
        <v>11640000</v>
      </c>
      <c r="H19" s="43">
        <f>H6</f>
        <v>12000000</v>
      </c>
      <c r="I19" s="43">
        <f>I6</f>
        <v>12000000</v>
      </c>
      <c r="J19" s="43"/>
      <c r="K19" s="11"/>
    </row>
    <row r="20" spans="1:11">
      <c r="A20" s="9"/>
      <c r="B20" s="9" t="s">
        <v>839</v>
      </c>
      <c r="C20" s="11"/>
      <c r="D20" s="11"/>
      <c r="E20" s="43">
        <f>OPEX_Operations!D53</f>
        <v>1837139</v>
      </c>
      <c r="F20" s="43">
        <f>OPEX_Operations!E53</f>
        <v>3365468.6</v>
      </c>
      <c r="G20" s="43">
        <f>OPEX_Operations!F53</f>
        <v>4046531.8000000003</v>
      </c>
      <c r="H20" s="43">
        <f>OPEX_Operations!G53</f>
        <v>4098000</v>
      </c>
      <c r="I20" s="43">
        <f>OPEX_Operations!H53</f>
        <v>4118000</v>
      </c>
      <c r="J20" s="43"/>
      <c r="K20" s="11"/>
    </row>
    <row r="21" spans="1:11">
      <c r="A21" s="35"/>
      <c r="B21" s="35" t="s">
        <v>840</v>
      </c>
      <c r="C21" s="36"/>
      <c r="D21" s="36"/>
      <c r="E21" s="37">
        <f>E19-E20</f>
        <v>-37139</v>
      </c>
      <c r="F21" s="37">
        <f>F19-F20</f>
        <v>6114531.4000000004</v>
      </c>
      <c r="G21" s="37">
        <f>G19-G20</f>
        <v>7593468.1999999993</v>
      </c>
      <c r="H21" s="37">
        <f>H19-H20</f>
        <v>7902000</v>
      </c>
      <c r="I21" s="37">
        <f>I19-I20</f>
        <v>7882000</v>
      </c>
      <c r="J21" s="37"/>
      <c r="K21" s="36"/>
    </row>
    <row r="22" spans="1:11">
      <c r="A22" s="44"/>
      <c r="B22" s="44" t="s">
        <v>841</v>
      </c>
      <c r="C22" s="45"/>
      <c r="D22" s="45"/>
      <c r="E22" s="55">
        <f>IF(E19=0,0,E21/E19)</f>
        <v>-2.0632777777777778E-2</v>
      </c>
      <c r="F22" s="55">
        <f>IF(F19=0,0,F21/F19)</f>
        <v>0.64499276371308023</v>
      </c>
      <c r="G22" s="55">
        <f>IF(G19=0,0,G21/G19)</f>
        <v>0.65235981099656348</v>
      </c>
      <c r="H22" s="55">
        <f>IF(H19=0,0,H21/H19)</f>
        <v>0.65849999999999997</v>
      </c>
      <c r="I22" s="55">
        <f>IF(I19=0,0,I21/I19)</f>
        <v>0.65683333333333338</v>
      </c>
      <c r="J22" s="55"/>
      <c r="K22" s="45"/>
    </row>
  </sheetData>
  <mergeCells count="3">
    <mergeCell ref="A2:K2"/>
    <mergeCell ref="A8:K8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H25"/>
  <sheetViews>
    <sheetView zoomScaleNormal="100" workbookViewId="0">
      <selection activeCell="C16" sqref="C16"/>
    </sheetView>
  </sheetViews>
  <sheetFormatPr defaultColWidth="8.7109375" defaultRowHeight="15"/>
  <cols>
    <col min="1" max="1" width="27.7109375" customWidth="1"/>
    <col min="2" max="2" width="35.42578125" customWidth="1"/>
    <col min="3" max="3" width="18" customWidth="1"/>
    <col min="4" max="4" width="40" customWidth="1"/>
    <col min="5" max="5" width="8" customWidth="1"/>
    <col min="6" max="7" width="12" customWidth="1"/>
    <col min="8" max="8" width="14" customWidth="1"/>
  </cols>
  <sheetData>
    <row r="1" spans="1:8">
      <c r="A1" s="15" t="s">
        <v>842</v>
      </c>
      <c r="B1" s="15" t="s">
        <v>843</v>
      </c>
      <c r="C1" s="15" t="s">
        <v>844</v>
      </c>
      <c r="D1" s="15" t="s">
        <v>845</v>
      </c>
      <c r="E1" s="15" t="s">
        <v>846</v>
      </c>
      <c r="F1" s="15" t="s">
        <v>847</v>
      </c>
      <c r="G1" s="15" t="s">
        <v>848</v>
      </c>
      <c r="H1" s="15" t="s">
        <v>849</v>
      </c>
    </row>
    <row r="2" spans="1:8">
      <c r="A2" s="81" t="s">
        <v>850</v>
      </c>
      <c r="B2" s="81"/>
      <c r="C2" s="81"/>
      <c r="D2" s="81"/>
      <c r="E2" s="81"/>
      <c r="F2" s="81"/>
      <c r="G2" s="81"/>
      <c r="H2" s="81"/>
    </row>
    <row r="3" spans="1:8">
      <c r="A3" s="9" t="s">
        <v>851</v>
      </c>
      <c r="B3" s="9" t="s">
        <v>852</v>
      </c>
      <c r="C3" s="43">
        <v>600000</v>
      </c>
      <c r="D3" s="11" t="s">
        <v>853</v>
      </c>
      <c r="E3" s="11" t="s">
        <v>854</v>
      </c>
      <c r="F3" s="11" t="s">
        <v>855</v>
      </c>
      <c r="G3" s="11" t="s">
        <v>856</v>
      </c>
      <c r="H3" s="11" t="s">
        <v>857</v>
      </c>
    </row>
    <row r="4" spans="1:8">
      <c r="A4" s="9" t="s">
        <v>858</v>
      </c>
      <c r="B4" s="9" t="s">
        <v>859</v>
      </c>
      <c r="C4" s="43">
        <v>250000</v>
      </c>
      <c r="D4" s="11" t="s">
        <v>860</v>
      </c>
      <c r="E4" s="11" t="s">
        <v>861</v>
      </c>
      <c r="F4" s="11" t="s">
        <v>862</v>
      </c>
      <c r="G4" s="11" t="s">
        <v>863</v>
      </c>
      <c r="H4" s="11" t="s">
        <v>864</v>
      </c>
    </row>
    <row r="5" spans="1:8">
      <c r="A5" s="9" t="s">
        <v>865</v>
      </c>
      <c r="B5" s="9" t="s">
        <v>866</v>
      </c>
      <c r="C5" s="43">
        <v>500000</v>
      </c>
      <c r="D5" s="11" t="s">
        <v>867</v>
      </c>
      <c r="E5" s="11" t="s">
        <v>761</v>
      </c>
      <c r="F5" s="11" t="s">
        <v>868</v>
      </c>
      <c r="G5" s="11" t="s">
        <v>856</v>
      </c>
      <c r="H5" s="11" t="s">
        <v>857</v>
      </c>
    </row>
    <row r="6" spans="1:8">
      <c r="A6" s="9" t="s">
        <v>869</v>
      </c>
      <c r="B6" s="9" t="s">
        <v>870</v>
      </c>
      <c r="C6" s="43">
        <v>150000</v>
      </c>
      <c r="D6" s="11" t="s">
        <v>871</v>
      </c>
      <c r="E6" s="11" t="s">
        <v>872</v>
      </c>
      <c r="F6" s="11" t="s">
        <v>873</v>
      </c>
      <c r="G6" s="11" t="s">
        <v>856</v>
      </c>
      <c r="H6" s="11" t="s">
        <v>857</v>
      </c>
    </row>
    <row r="7" spans="1:8">
      <c r="A7" s="9" t="s">
        <v>874</v>
      </c>
      <c r="B7" s="9" t="s">
        <v>875</v>
      </c>
      <c r="C7" s="43">
        <v>500000</v>
      </c>
      <c r="D7" s="11" t="s">
        <v>876</v>
      </c>
      <c r="E7" s="11" t="s">
        <v>877</v>
      </c>
      <c r="F7" s="11" t="s">
        <v>878</v>
      </c>
      <c r="G7" s="11" t="s">
        <v>879</v>
      </c>
      <c r="H7" s="11" t="s">
        <v>880</v>
      </c>
    </row>
    <row r="8" spans="1:8">
      <c r="A8" s="9" t="s">
        <v>881</v>
      </c>
      <c r="B8" s="9" t="s">
        <v>882</v>
      </c>
      <c r="C8" s="43">
        <v>500000</v>
      </c>
      <c r="D8" s="11" t="s">
        <v>883</v>
      </c>
      <c r="E8" s="11" t="s">
        <v>884</v>
      </c>
      <c r="F8" s="11" t="s">
        <v>873</v>
      </c>
      <c r="G8" s="11" t="s">
        <v>879</v>
      </c>
      <c r="H8" s="11" t="s">
        <v>885</v>
      </c>
    </row>
    <row r="9" spans="1:8">
      <c r="A9" s="9" t="s">
        <v>886</v>
      </c>
      <c r="B9" s="9" t="s">
        <v>887</v>
      </c>
      <c r="C9" s="43">
        <v>300000</v>
      </c>
      <c r="D9" s="11" t="s">
        <v>888</v>
      </c>
      <c r="E9" s="11" t="s">
        <v>872</v>
      </c>
      <c r="F9" s="11" t="s">
        <v>889</v>
      </c>
      <c r="G9" s="11" t="s">
        <v>856</v>
      </c>
      <c r="H9" s="11" t="s">
        <v>890</v>
      </c>
    </row>
    <row r="10" spans="1:8">
      <c r="A10" s="17"/>
      <c r="B10" s="17" t="s">
        <v>891</v>
      </c>
      <c r="C10" s="34">
        <v>2800000</v>
      </c>
      <c r="D10" s="19"/>
      <c r="E10" s="19"/>
      <c r="F10" s="19"/>
      <c r="G10" s="19"/>
      <c r="H10" s="19"/>
    </row>
    <row r="11" spans="1:8">
      <c r="A11" s="81" t="s">
        <v>892</v>
      </c>
      <c r="B11" s="81"/>
      <c r="C11" s="81"/>
      <c r="D11" s="81"/>
      <c r="E11" s="81"/>
      <c r="F11" s="81"/>
      <c r="G11" s="81"/>
      <c r="H11" s="81"/>
    </row>
    <row r="12" spans="1:8">
      <c r="A12" s="9" t="s">
        <v>893</v>
      </c>
      <c r="B12" s="9" t="s">
        <v>894</v>
      </c>
      <c r="C12" s="43">
        <v>500000</v>
      </c>
      <c r="D12" s="11" t="s">
        <v>895</v>
      </c>
      <c r="E12" s="11" t="s">
        <v>896</v>
      </c>
      <c r="F12" s="11" t="s">
        <v>855</v>
      </c>
      <c r="G12" s="11" t="s">
        <v>897</v>
      </c>
      <c r="H12" s="11" t="s">
        <v>857</v>
      </c>
    </row>
    <row r="13" spans="1:8">
      <c r="A13" s="9" t="s">
        <v>898</v>
      </c>
      <c r="B13" s="9" t="s">
        <v>899</v>
      </c>
      <c r="C13" s="43">
        <v>200000</v>
      </c>
      <c r="D13" s="11" t="s">
        <v>900</v>
      </c>
      <c r="E13" s="11" t="s">
        <v>872</v>
      </c>
      <c r="F13" s="11" t="s">
        <v>868</v>
      </c>
      <c r="G13" s="11" t="s">
        <v>901</v>
      </c>
      <c r="H13" s="11" t="s">
        <v>857</v>
      </c>
    </row>
    <row r="14" spans="1:8">
      <c r="A14" s="9" t="s">
        <v>902</v>
      </c>
      <c r="B14" s="9" t="s">
        <v>903</v>
      </c>
      <c r="C14" s="43">
        <v>300000</v>
      </c>
      <c r="D14" s="11" t="s">
        <v>904</v>
      </c>
      <c r="E14" s="11" t="s">
        <v>905</v>
      </c>
      <c r="F14" s="11" t="s">
        <v>862</v>
      </c>
      <c r="G14" s="11" t="s">
        <v>863</v>
      </c>
      <c r="H14" s="11" t="s">
        <v>857</v>
      </c>
    </row>
    <row r="15" spans="1:8">
      <c r="A15" s="9" t="s">
        <v>906</v>
      </c>
      <c r="B15" s="9" t="s">
        <v>907</v>
      </c>
      <c r="C15" s="43">
        <v>1000000</v>
      </c>
      <c r="D15" s="11" t="s">
        <v>908</v>
      </c>
      <c r="E15" s="11" t="s">
        <v>877</v>
      </c>
      <c r="F15" s="11" t="s">
        <v>909</v>
      </c>
      <c r="G15" s="11" t="s">
        <v>856</v>
      </c>
      <c r="H15" s="11" t="s">
        <v>890</v>
      </c>
    </row>
    <row r="16" spans="1:8">
      <c r="A16" s="17"/>
      <c r="B16" s="17" t="s">
        <v>910</v>
      </c>
      <c r="C16" s="34">
        <v>2000000</v>
      </c>
      <c r="D16" s="19"/>
      <c r="E16" s="19"/>
      <c r="F16" s="19"/>
      <c r="G16" s="19"/>
      <c r="H16" s="19"/>
    </row>
    <row r="17" spans="1:8">
      <c r="A17" s="81" t="s">
        <v>911</v>
      </c>
      <c r="B17" s="81"/>
      <c r="C17" s="81"/>
      <c r="D17" s="81"/>
      <c r="E17" s="81"/>
      <c r="F17" s="81"/>
      <c r="G17" s="81"/>
      <c r="H17" s="81"/>
    </row>
    <row r="18" spans="1:8">
      <c r="A18" s="9" t="s">
        <v>912</v>
      </c>
      <c r="B18" s="9" t="s">
        <v>913</v>
      </c>
      <c r="C18" s="43">
        <v>200000</v>
      </c>
      <c r="D18" s="11" t="s">
        <v>914</v>
      </c>
      <c r="E18" s="11" t="s">
        <v>896</v>
      </c>
      <c r="F18" s="11" t="s">
        <v>862</v>
      </c>
      <c r="G18" s="11" t="s">
        <v>863</v>
      </c>
      <c r="H18" s="11" t="s">
        <v>915</v>
      </c>
    </row>
    <row r="19" spans="1:8">
      <c r="A19" s="9" t="s">
        <v>916</v>
      </c>
      <c r="B19" s="9" t="s">
        <v>917</v>
      </c>
      <c r="C19" s="43">
        <v>100000</v>
      </c>
      <c r="D19" s="11" t="s">
        <v>918</v>
      </c>
      <c r="E19" s="11" t="s">
        <v>905</v>
      </c>
      <c r="F19" s="11" t="s">
        <v>919</v>
      </c>
      <c r="G19" s="11" t="s">
        <v>920</v>
      </c>
      <c r="H19" s="11" t="s">
        <v>857</v>
      </c>
    </row>
    <row r="20" spans="1:8">
      <c r="A20" s="9" t="s">
        <v>921</v>
      </c>
      <c r="B20" s="9" t="s">
        <v>922</v>
      </c>
      <c r="C20" s="43">
        <v>50000</v>
      </c>
      <c r="D20" s="11" t="s">
        <v>923</v>
      </c>
      <c r="E20" s="11" t="s">
        <v>896</v>
      </c>
      <c r="F20" s="11" t="s">
        <v>436</v>
      </c>
      <c r="G20" s="11" t="s">
        <v>920</v>
      </c>
      <c r="H20" s="11" t="s">
        <v>857</v>
      </c>
    </row>
    <row r="21" spans="1:8">
      <c r="A21" s="17"/>
      <c r="B21" s="17" t="s">
        <v>924</v>
      </c>
      <c r="C21" s="34">
        <v>350000</v>
      </c>
      <c r="D21" s="19"/>
      <c r="E21" s="19"/>
      <c r="F21" s="19"/>
      <c r="G21" s="19"/>
      <c r="H21" s="19"/>
    </row>
    <row r="23" spans="1:8">
      <c r="A23" s="35"/>
      <c r="B23" s="35" t="s">
        <v>925</v>
      </c>
      <c r="C23" s="37">
        <f>C10+C16+C21</f>
        <v>5150000</v>
      </c>
      <c r="D23" s="36"/>
      <c r="E23" s="36"/>
      <c r="F23" s="36"/>
      <c r="G23" s="36"/>
      <c r="H23" s="36"/>
    </row>
    <row r="25" spans="1:8" ht="15" customHeight="1">
      <c r="A25" s="76"/>
      <c r="B25" s="86" t="s">
        <v>926</v>
      </c>
      <c r="C25" s="86"/>
      <c r="D25" s="86"/>
      <c r="E25" s="86"/>
      <c r="F25" s="86"/>
      <c r="G25" s="86"/>
      <c r="H25" s="86"/>
    </row>
  </sheetData>
  <mergeCells count="4">
    <mergeCell ref="A2:H2"/>
    <mergeCell ref="A11:H11"/>
    <mergeCell ref="A17:H17"/>
    <mergeCell ref="B25:H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Joël OXYBEL</cp:lastModifiedBy>
  <cp:revision>1</cp:revision>
  <dcterms:created xsi:type="dcterms:W3CDTF">2026-03-06T21:22:06Z</dcterms:created>
  <dcterms:modified xsi:type="dcterms:W3CDTF">2026-03-20T12:09:49Z</dcterms:modified>
  <cp:category/>
  <cp:contentStatus/>
</cp:coreProperties>
</file>